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e\Documents\Proyectos\celego\docs\excels\"/>
    </mc:Choice>
  </mc:AlternateContent>
  <xr:revisionPtr revIDLastSave="0" documentId="13_ncr:1_{16A6215A-6FD4-4B38-A47B-F71501FEE81C}" xr6:coauthVersionLast="47" xr6:coauthVersionMax="47" xr10:uidLastSave="{00000000-0000-0000-0000-000000000000}"/>
  <bookViews>
    <workbookView xWindow="-108" yWindow="-108" windowWidth="23256" windowHeight="12456" xr2:uid="{7FD18408-FC32-4DC9-AA45-D0D8FE51A0AD}"/>
  </bookViews>
  <sheets>
    <sheet name="IMPORTAR_DATA_DIARI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F2" i="2"/>
  <c r="B3" i="2"/>
  <c r="F3" i="2" s="1"/>
</calcChain>
</file>

<file path=xl/sharedStrings.xml><?xml version="1.0" encoding="utf-8"?>
<sst xmlns="http://schemas.openxmlformats.org/spreadsheetml/2006/main" count="1410" uniqueCount="455">
  <si>
    <t>EMISION</t>
  </si>
  <si>
    <t>S</t>
  </si>
  <si>
    <t xml:space="preserve">04232026  </t>
  </si>
  <si>
    <t xml:space="preserve">20260408  </t>
  </si>
  <si>
    <t xml:space="preserve">MAIL BOXES INTERIOR ESTE      </t>
  </si>
  <si>
    <t xml:space="preserve">                                                                                                    </t>
  </si>
  <si>
    <t xml:space="preserve">8296685816                                                                                          </t>
  </si>
  <si>
    <t xml:space="preserve">8296685816     </t>
  </si>
  <si>
    <t xml:space="preserve">8099626753     </t>
  </si>
  <si>
    <t xml:space="preserve">JOSE ESPINAL                  </t>
  </si>
  <si>
    <t xml:space="preserve">SISTEMAS                                                                                            </t>
  </si>
  <si>
    <t xml:space="preserve">BARCEL° B╡VARO GRAND RESORT                                                                         </t>
  </si>
  <si>
    <t xml:space="preserve">8296685816 HORA 8AM A 5PM                                                                           </t>
  </si>
  <si>
    <t xml:space="preserve">PROX BARCELO TENIS                                                                                  </t>
  </si>
  <si>
    <t xml:space="preserve">HIGUEY (MG)                                                                                         </t>
  </si>
  <si>
    <t xml:space="preserve">LA ALTAGRACIA                                                                                       </t>
  </si>
  <si>
    <t xml:space="preserve">REPUBLICA DOMINICANA          </t>
  </si>
  <si>
    <t xml:space="preserve">BAVARO                                                                                              </t>
  </si>
  <si>
    <t xml:space="preserve">NA                                                                                                  </t>
  </si>
  <si>
    <t xml:space="preserve">PRINCIPAL HOTEL BARCELO                                                                                                                                                                                 </t>
  </si>
  <si>
    <t>40218079339</t>
  </si>
  <si>
    <t xml:space="preserve">001 </t>
  </si>
  <si>
    <t>PUNTA CANA</t>
  </si>
  <si>
    <t xml:space="preserve">JOSE ESPINAL                                                                                                                                                                                                                                                   </t>
  </si>
  <si>
    <t>5415017787122799</t>
  </si>
  <si>
    <t>EOD</t>
  </si>
  <si>
    <t>AUTOMATICAS ZONA ESTE</t>
  </si>
  <si>
    <t>REPOSICION</t>
  </si>
  <si>
    <t>N</t>
  </si>
  <si>
    <t xml:space="preserve">20260421  </t>
  </si>
  <si>
    <t xml:space="preserve">                                                                                       9999999999999</t>
  </si>
  <si>
    <t xml:space="preserve">                                                                                       0008492124545</t>
  </si>
  <si>
    <t xml:space="preserve">8492124545     </t>
  </si>
  <si>
    <t xml:space="preserve">9999999999     </t>
  </si>
  <si>
    <t xml:space="preserve">LOC FM                        </t>
  </si>
  <si>
    <t xml:space="preserve">8492124545                                                                                          </t>
  </si>
  <si>
    <t xml:space="preserve">DISP DE 8 AM A 11 AM                                                                                </t>
  </si>
  <si>
    <t xml:space="preserve">PUNTA CANA                                                                                          </t>
  </si>
  <si>
    <t xml:space="preserve">VERON                                                                                               </t>
  </si>
  <si>
    <t xml:space="preserve">CASA NO 45 PUERTA AZUL                                                                              </t>
  </si>
  <si>
    <t xml:space="preserve">CALLE EUCALIPTO                                                                                                                                                                                         </t>
  </si>
  <si>
    <t>00113900815</t>
  </si>
  <si>
    <t xml:space="preserve">CESAR GUZMAN                                                                                                                                                                                                                                                   </t>
  </si>
  <si>
    <t>4741017889147867</t>
  </si>
  <si>
    <t xml:space="preserve">8297871924                                                                                          </t>
  </si>
  <si>
    <t xml:space="preserve">8297871924     </t>
  </si>
  <si>
    <t xml:space="preserve">8096865797     </t>
  </si>
  <si>
    <t xml:space="preserve">                              </t>
  </si>
  <si>
    <t xml:space="preserve">0000000001                                                                                          </t>
  </si>
  <si>
    <t xml:space="preserve">HIGUEY                                                                                              </t>
  </si>
  <si>
    <t xml:space="preserve">CARR BAVARO                                                                                                                                                                                             </t>
  </si>
  <si>
    <t>40212606459</t>
  </si>
  <si>
    <t xml:space="preserve">LILIBETH SANTILLAN                                                                                                                                                                                                                                             </t>
  </si>
  <si>
    <t>4921017891142060</t>
  </si>
  <si>
    <t>EAD</t>
  </si>
  <si>
    <t xml:space="preserve">20260409  </t>
  </si>
  <si>
    <t xml:space="preserve">8093914831                                                                                          </t>
  </si>
  <si>
    <t xml:space="preserve">8093914831     </t>
  </si>
  <si>
    <t xml:space="preserve">8097310099     </t>
  </si>
  <si>
    <t xml:space="preserve">ANA CABRERA                   </t>
  </si>
  <si>
    <t xml:space="preserve">809 391 4831                                                                                        </t>
  </si>
  <si>
    <t xml:space="preserve">UNA CALLE ANTES DE LA BOMBA DE GAS                                                                  </t>
  </si>
  <si>
    <t xml:space="preserve">FRIUSA BAVARO                                                                                       </t>
  </si>
  <si>
    <t xml:space="preserve">LAS FLORES AV ESPANA 78                                                                                                                                                                                 </t>
  </si>
  <si>
    <t>40237573312</t>
  </si>
  <si>
    <t xml:space="preserve">ANA CABRERA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</si>
  <si>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4921017796491529</t>
  </si>
  <si>
    <t>RENOVACION</t>
  </si>
  <si>
    <t xml:space="preserve">8293146418     </t>
  </si>
  <si>
    <t xml:space="preserve">8095521546     </t>
  </si>
  <si>
    <t xml:space="preserve">RF                            </t>
  </si>
  <si>
    <t xml:space="preserve">HIGUEY LA ALTAGRACIA                                                                                </t>
  </si>
  <si>
    <t xml:space="preserve">VERON PUNTA CANA                                                                                    </t>
  </si>
  <si>
    <t xml:space="preserve">MICHES                                                                                              </t>
  </si>
  <si>
    <t xml:space="preserve">SABANA DE NISIBON                                                                                                                                                                                       </t>
  </si>
  <si>
    <t>02900153210</t>
  </si>
  <si>
    <t xml:space="preserve">ZENON TEJEDA                                                                                                                                                                                                                                                   </t>
  </si>
  <si>
    <t>4025017892990193</t>
  </si>
  <si>
    <t xml:space="preserve">                                                                                       0000000000000</t>
  </si>
  <si>
    <t xml:space="preserve">                                                                                       0008094082662</t>
  </si>
  <si>
    <t xml:space="preserve">8094082662     </t>
  </si>
  <si>
    <t xml:space="preserve">FR AH                         </t>
  </si>
  <si>
    <t xml:space="preserve">8094082662                                                                                          </t>
  </si>
  <si>
    <t xml:space="preserve">PROX AVENIDA HUGO CHAVEZ                                                                            </t>
  </si>
  <si>
    <t xml:space="preserve">SAN PEDRO DE MACORIS                                                                                </t>
  </si>
  <si>
    <t xml:space="preserve">URB MARINA                                                                                          </t>
  </si>
  <si>
    <t xml:space="preserve">CALLE CUARTA 6                                                                                                                                                                                          </t>
  </si>
  <si>
    <t>02301528648</t>
  </si>
  <si>
    <t>SAN PEDRO DE MACORIS</t>
  </si>
  <si>
    <t xml:space="preserve">ERCILIA CABRERA                                                                                                                                                                                                                                                </t>
  </si>
  <si>
    <t>4741017889235409</t>
  </si>
  <si>
    <t xml:space="preserve">                                                                                       0008298606124</t>
  </si>
  <si>
    <t xml:space="preserve">8298606124     </t>
  </si>
  <si>
    <t xml:space="preserve">FR FM                         </t>
  </si>
  <si>
    <t xml:space="preserve">829 860 6124 8298606124                                                                             </t>
  </si>
  <si>
    <t xml:space="preserve">FR FM                                                                                               </t>
  </si>
  <si>
    <t xml:space="preserve">AZUL                                                                                                </t>
  </si>
  <si>
    <t xml:space="preserve">NO 46                                                                                               </t>
  </si>
  <si>
    <t xml:space="preserve">CALLE 3RA                                                                                                                                                                                               </t>
  </si>
  <si>
    <t>40211170283</t>
  </si>
  <si>
    <t xml:space="preserve">JOSE SORIANO                                                                                                                                                                                                                                                   </t>
  </si>
  <si>
    <t>4741017889229897</t>
  </si>
  <si>
    <t xml:space="preserve">                                                                                       0008095296633</t>
  </si>
  <si>
    <t xml:space="preserve">                                                                                       0008099060734</t>
  </si>
  <si>
    <t xml:space="preserve">8099060734     </t>
  </si>
  <si>
    <t xml:space="preserve">8095296633     </t>
  </si>
  <si>
    <t xml:space="preserve">LOC AH                        </t>
  </si>
  <si>
    <t xml:space="preserve">HORARIO DE 9AM A 5PM                                                                                </t>
  </si>
  <si>
    <t xml:space="preserve">8099060734                                                                                          </t>
  </si>
  <si>
    <t xml:space="preserve">PROX AL COLMADO BRISA                                                                               </t>
  </si>
  <si>
    <t xml:space="preserve">VILLA ESPANA                                                                                        </t>
  </si>
  <si>
    <t xml:space="preserve">CALLE ALICANTE NO 4                                                                                                                                                                                     </t>
  </si>
  <si>
    <t>02301479289</t>
  </si>
  <si>
    <t xml:space="preserve">CESAR POLANCO POLANCO                                                                                                                                                                                                                                          </t>
  </si>
  <si>
    <t>4741017889154760</t>
  </si>
  <si>
    <t xml:space="preserve">                                                                                       0008296900616</t>
  </si>
  <si>
    <t xml:space="preserve">8296900616     </t>
  </si>
  <si>
    <t xml:space="preserve">8296900616                                                                                          </t>
  </si>
  <si>
    <t xml:space="preserve">PROX A IGLESIA CAMINO DE SALVACION                                                                  </t>
  </si>
  <si>
    <t xml:space="preserve">VILLA MARANATHA                                                                                     </t>
  </si>
  <si>
    <t xml:space="preserve">CALLE DANIEL 3                                                                                                                                                                                          </t>
  </si>
  <si>
    <t>40209610332</t>
  </si>
  <si>
    <t xml:space="preserve">YAYCO SILVESTRE                                                                                                                                                                                                                                                </t>
  </si>
  <si>
    <t>4741017889169176</t>
  </si>
  <si>
    <t xml:space="preserve">8294250627                                                                                          </t>
  </si>
  <si>
    <t xml:space="preserve">8294250627     </t>
  </si>
  <si>
    <t xml:space="preserve">8095290000     </t>
  </si>
  <si>
    <t xml:space="preserve">ENTREGAR EN  LA UNIVERSIDAD CENTRAL DEL ESTE UCE                                                    </t>
  </si>
  <si>
    <t xml:space="preserve">SAN PEDRO MACORIS                                                                                   </t>
  </si>
  <si>
    <t xml:space="preserve">SAN MARTIN                                                                                          </t>
  </si>
  <si>
    <t xml:space="preserve">ENTREGAR EN LA UCE                                                                                                                                                                                      </t>
  </si>
  <si>
    <t>40244255515</t>
  </si>
  <si>
    <t xml:space="preserve">CRISMEIRY GARCIA                                                                                                                                                                                                                                               </t>
  </si>
  <si>
    <t>4921017891097028</t>
  </si>
  <si>
    <t xml:space="preserve">8295493851                                                                                          </t>
  </si>
  <si>
    <t xml:space="preserve">8295493851     </t>
  </si>
  <si>
    <t xml:space="preserve">8093811200     </t>
  </si>
  <si>
    <t xml:space="preserve">CONSUELO BATEY CACHENA                                                                              </t>
  </si>
  <si>
    <t xml:space="preserve">CACHENA                                                                                                                                                                                                 </t>
  </si>
  <si>
    <t>40200498232</t>
  </si>
  <si>
    <t xml:space="preserve">ENMANUEL TEJEDA                                                                                                                                                                                                                                                </t>
  </si>
  <si>
    <t>4921017891161068</t>
  </si>
  <si>
    <t xml:space="preserve">8492663824                                                                                          </t>
  </si>
  <si>
    <t xml:space="preserve">8492663824     </t>
  </si>
  <si>
    <t xml:space="preserve">0000000000     </t>
  </si>
  <si>
    <t xml:space="preserve">BVD                           </t>
  </si>
  <si>
    <t xml:space="preserve">FARMACIA OCHOA                                                                                      </t>
  </si>
  <si>
    <t xml:space="preserve">CONSUELO                                                                                            </t>
  </si>
  <si>
    <t xml:space="preserve">ESPERIMENTAL                                                                                        </t>
  </si>
  <si>
    <t xml:space="preserve">CALLE 2DA NO 58                                                                                                                                                                                         </t>
  </si>
  <si>
    <t>40211652082</t>
  </si>
  <si>
    <t xml:space="preserve">YOKAIRA NOLASCO                                                                                                                                                                                                                                                </t>
  </si>
  <si>
    <t>4921017887642391</t>
  </si>
  <si>
    <t xml:space="preserve">20260407  </t>
  </si>
  <si>
    <t xml:space="preserve">8098475732                                                                                          </t>
  </si>
  <si>
    <t xml:space="preserve">8098475732     </t>
  </si>
  <si>
    <t xml:space="preserve">JELENNY RINCON                </t>
  </si>
  <si>
    <t xml:space="preserve">LIC ENFERMERIA                                                                                      </t>
  </si>
  <si>
    <t xml:space="preserve">CLINICA DE MEDICINA FAMILIAR DR FRANKLIN PE╣A                                                       </t>
  </si>
  <si>
    <t xml:space="preserve">8098475732 8AM A5PM                                                                                 </t>
  </si>
  <si>
    <t xml:space="preserve">PROXIMO REPUESTOS FRANKLIN PARQUE DUARTE SAN PEDRO                                                  </t>
  </si>
  <si>
    <t xml:space="preserve">SAN PEDRO DE MACORIS (MG)                                                                           </t>
  </si>
  <si>
    <t xml:space="preserve">LOMA DEL COCHERO                                                                                    </t>
  </si>
  <si>
    <t xml:space="preserve">AV MAURICIO B╡EZ                                                                                                                                                                                        </t>
  </si>
  <si>
    <t>40210460420</t>
  </si>
  <si>
    <t xml:space="preserve">JELENNY RINCON                                                                                                                                                                                                                                                 </t>
  </si>
  <si>
    <t>4921017782317036</t>
  </si>
  <si>
    <t xml:space="preserve">8096466891                                                                                          </t>
  </si>
  <si>
    <t xml:space="preserve">8094026891                                                                                          </t>
  </si>
  <si>
    <t xml:space="preserve">8094026891     </t>
  </si>
  <si>
    <t xml:space="preserve">8096466891     </t>
  </si>
  <si>
    <t xml:space="preserve">AMABLE SANTANA                </t>
  </si>
  <si>
    <t xml:space="preserve">PROPIETARIO                                                                                         </t>
  </si>
  <si>
    <t xml:space="preserve">04 IMPORT                                                                                           </t>
  </si>
  <si>
    <t xml:space="preserve">8296466891 8AM A 5PM                                                                                </t>
  </si>
  <si>
    <t xml:space="preserve">PROX A MINI MARKET EL AGUILA                                                                        </t>
  </si>
  <si>
    <t xml:space="preserve">CONSUELO (MG)                                                                                       </t>
  </si>
  <si>
    <t xml:space="preserve">CONSUELO BARRIO YORK                                                                                </t>
  </si>
  <si>
    <t xml:space="preserve">AV DON LILO ALBURQUERQUE                                                                                                                                                                                </t>
  </si>
  <si>
    <t>13800071576</t>
  </si>
  <si>
    <t xml:space="preserve">AMABLE SANTANA                                                                                                                                                                                                                                                 </t>
  </si>
  <si>
    <t>4921017785999186</t>
  </si>
  <si>
    <t xml:space="preserve">8493846503                                                                                          </t>
  </si>
  <si>
    <t xml:space="preserve">8493846503     </t>
  </si>
  <si>
    <t xml:space="preserve">                                                                                                                                                                                                        </t>
  </si>
  <si>
    <t>40241992128</t>
  </si>
  <si>
    <t xml:space="preserve">JOEL RAMIREZ                                                                                                                                                                                                                                                   </t>
  </si>
  <si>
    <t>4921017891109890</t>
  </si>
  <si>
    <t xml:space="preserve">8298061243                                                                                          </t>
  </si>
  <si>
    <t xml:space="preserve">8298061243     </t>
  </si>
  <si>
    <t>01100029709</t>
  </si>
  <si>
    <t xml:space="preserve">JOSE SALVADOR                                                                                                                                                                                                                                                  </t>
  </si>
  <si>
    <t>4921017891113332</t>
  </si>
  <si>
    <t xml:space="preserve">8294579903     </t>
  </si>
  <si>
    <t xml:space="preserve">8094579903     </t>
  </si>
  <si>
    <t xml:space="preserve">JUAN PEREZ                    </t>
  </si>
  <si>
    <t xml:space="preserve">LOS LLANOS                                                                                          </t>
  </si>
  <si>
    <t xml:space="preserve">SANTA FE VILLA BLANCA                                                                               </t>
  </si>
  <si>
    <t xml:space="preserve">CARRETERA MELLA K M    NO 3 1                                                                                                                                                                           </t>
  </si>
  <si>
    <t>02301702748</t>
  </si>
  <si>
    <t xml:space="preserve">JUAN PEREZ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</si>
  <si>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5415017890134883</t>
  </si>
  <si>
    <t xml:space="preserve">8496388719     </t>
  </si>
  <si>
    <t xml:space="preserve">REP_F                         </t>
  </si>
  <si>
    <t xml:space="preserve">SAN PEDRO MACORIS SAN PEDRO DE MACORIS                                                              </t>
  </si>
  <si>
    <t xml:space="preserve">MIRAMAR                                                                                             </t>
  </si>
  <si>
    <t xml:space="preserve">LOS PINOS                                                                                           </t>
  </si>
  <si>
    <t xml:space="preserve">ZAYAS BAZAN                                                                                                                                                                                             </t>
  </si>
  <si>
    <t>40251231110</t>
  </si>
  <si>
    <t xml:space="preserve">LISMERY PICHARDO                                                                                                                                                                                                                                               </t>
  </si>
  <si>
    <t>4921017891480655</t>
  </si>
  <si>
    <t xml:space="preserve">8295260098                                                                                          </t>
  </si>
  <si>
    <t xml:space="preserve">8295260098     </t>
  </si>
  <si>
    <t>40218969257</t>
  </si>
  <si>
    <t xml:space="preserve">YENIFER GUEVARA                                                                                                                                                                                                                                                </t>
  </si>
  <si>
    <t>4025017892867110</t>
  </si>
  <si>
    <t xml:space="preserve">8093452558                                                                                          </t>
  </si>
  <si>
    <t xml:space="preserve">8093452558     </t>
  </si>
  <si>
    <t xml:space="preserve">8099999999     </t>
  </si>
  <si>
    <t>40244821852</t>
  </si>
  <si>
    <t xml:space="preserve">MARIANNY RUIZ                                                                                                                                                                                                                                                  </t>
  </si>
  <si>
    <t>5188017890699887</t>
  </si>
  <si>
    <t xml:space="preserve">8295294211                                                                                          </t>
  </si>
  <si>
    <t xml:space="preserve">8295294211     </t>
  </si>
  <si>
    <t xml:space="preserve">8095293693     </t>
  </si>
  <si>
    <t xml:space="preserve">SECTOR SANTA ANA                                                                                    </t>
  </si>
  <si>
    <t xml:space="preserve">CALLE LOS RIELES                                                                                                                                                                                        </t>
  </si>
  <si>
    <t>40219010028</t>
  </si>
  <si>
    <t xml:space="preserve">MICHELLE BAEZ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</si>
  <si>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4921017892594862</t>
  </si>
  <si>
    <t xml:space="preserve">                                                                                       0008097537593</t>
  </si>
  <si>
    <t xml:space="preserve">8097537593     </t>
  </si>
  <si>
    <t xml:space="preserve">8097537593                                                                                          </t>
  </si>
  <si>
    <t xml:space="preserve">DETRAS DEL BANCO POPULAR                                                                            </t>
  </si>
  <si>
    <t xml:space="preserve">LA OTRA BANDA                                                                                       </t>
  </si>
  <si>
    <t xml:space="preserve">DISP DE 8 AM A 5 PM                                                                                 </t>
  </si>
  <si>
    <t xml:space="preserve">CALLE VICTOR MARTINEZ                                                                                                                                                                                   </t>
  </si>
  <si>
    <t>02800751881</t>
  </si>
  <si>
    <t>HIGUEY</t>
  </si>
  <si>
    <t xml:space="preserve">ISRAEL MARTINEZ                                                                                                                                                                                                                                                </t>
  </si>
  <si>
    <t>5523017889959661</t>
  </si>
  <si>
    <t xml:space="preserve">8297082130                                                                                          </t>
  </si>
  <si>
    <t xml:space="preserve">8297082130     </t>
  </si>
  <si>
    <t xml:space="preserve">8298840906     </t>
  </si>
  <si>
    <t xml:space="preserve">FRENTE AL COLMADO DARIO                                                                             </t>
  </si>
  <si>
    <t xml:space="preserve">LA IMAGEN                                                                                           </t>
  </si>
  <si>
    <t xml:space="preserve">CALLE J NO 37                                                                                                                                                                                           </t>
  </si>
  <si>
    <t>00118060714</t>
  </si>
  <si>
    <t xml:space="preserve">ANA PENA HERNANDEZ                                                                                                                                                                                                                                             </t>
  </si>
  <si>
    <t>4921017891870526</t>
  </si>
  <si>
    <t xml:space="preserve">8292675333                                                                                          </t>
  </si>
  <si>
    <t xml:space="preserve">8092215418     </t>
  </si>
  <si>
    <t xml:space="preserve">8292675333     </t>
  </si>
  <si>
    <t>40210894925</t>
  </si>
  <si>
    <t xml:space="preserve">CORAL ALVAREZ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</si>
  <si>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4921017892113195</t>
  </si>
  <si>
    <t xml:space="preserve">8093514230                                                                                          </t>
  </si>
  <si>
    <t xml:space="preserve">8093514230     </t>
  </si>
  <si>
    <t>40212416461</t>
  </si>
  <si>
    <t xml:space="preserve">BRAULIO MERCEDES                                                                                                                                                                                                                                               </t>
  </si>
  <si>
    <t>4921017891059913</t>
  </si>
  <si>
    <t xml:space="preserve">20260418  </t>
  </si>
  <si>
    <t xml:space="preserve">                                                                                       0008297642574</t>
  </si>
  <si>
    <t xml:space="preserve">8297642574     </t>
  </si>
  <si>
    <t xml:space="preserve">HAMELYN HERRERA               </t>
  </si>
  <si>
    <t xml:space="preserve">CLINICA DR SANCHEZ                                                                                  </t>
  </si>
  <si>
    <t xml:space="preserve">8297642574 DE 8AM A 5PM                                                                             </t>
  </si>
  <si>
    <t xml:space="preserve">PROX A FUNERARIA SHADAY                                                                             </t>
  </si>
  <si>
    <t xml:space="preserve">RESIDENCIAL LUISA PERLA                                                                             </t>
  </si>
  <si>
    <t xml:space="preserve">AV CLUB ROTARIO ESQ RUBI                                                                                                                                                                                </t>
  </si>
  <si>
    <t>02801139219</t>
  </si>
  <si>
    <t xml:space="preserve">HAMELYN HERRERA                                                                                                                                                                                                                                                </t>
  </si>
  <si>
    <t>4966017866871104</t>
  </si>
  <si>
    <t xml:space="preserve">                                                                                       0008098141455</t>
  </si>
  <si>
    <t xml:space="preserve">8098141455     </t>
  </si>
  <si>
    <t xml:space="preserve">8098141455                                                                                          </t>
  </si>
  <si>
    <t xml:space="preserve">FRENTE A LA PLAZA EL NARANJO                                                                        </t>
  </si>
  <si>
    <t xml:space="preserve">LOS NARANJOS                                                                                        </t>
  </si>
  <si>
    <t xml:space="preserve">NEGOCIO DE PUBLICIDAD CAROMIN                                                                       </t>
  </si>
  <si>
    <t xml:space="preserve">AV JUAN 23                                                                                                                                                                                              </t>
  </si>
  <si>
    <t>40225677372</t>
  </si>
  <si>
    <t xml:space="preserve">BERMIN CARPIO                                                                                                                                                                                                                                                  </t>
  </si>
  <si>
    <t>5188017883692177</t>
  </si>
  <si>
    <t xml:space="preserve">8293627308                                                                                          </t>
  </si>
  <si>
    <t xml:space="preserve">8293627308     </t>
  </si>
  <si>
    <t xml:space="preserve">SACH  COLLECTION                                                                                    </t>
  </si>
  <si>
    <t xml:space="preserve">PLAZA EL NARAJON                                                                                    </t>
  </si>
  <si>
    <t xml:space="preserve">CENTRO DE LA CIUDAD                                                                                 </t>
  </si>
  <si>
    <t xml:space="preserve">LOCAL NO 1                                                                                          </t>
  </si>
  <si>
    <t xml:space="preserve">CALLE LA ALTAGRACIA                                                                                                                                                                                     </t>
  </si>
  <si>
    <t>40213234855</t>
  </si>
  <si>
    <t xml:space="preserve">ASHLIEY AGUERO                                                                                                                                                                                                                                                 </t>
  </si>
  <si>
    <t>4921017885627169</t>
  </si>
  <si>
    <t xml:space="preserve">20260401  </t>
  </si>
  <si>
    <t xml:space="preserve">                                                                                       0008292032161</t>
  </si>
  <si>
    <t xml:space="preserve">8292032161     </t>
  </si>
  <si>
    <t xml:space="preserve">SS                            </t>
  </si>
  <si>
    <t xml:space="preserve">COMANDO JUALKI                                                                                      </t>
  </si>
  <si>
    <t xml:space="preserve">8292032161                                                                                          </t>
  </si>
  <si>
    <t xml:space="preserve">VILLA CERRO                                                                                         </t>
  </si>
  <si>
    <t xml:space="preserve">EMELIDA CENDANO  1 JUA 1                                                                                                                                                                                </t>
  </si>
  <si>
    <t>02801121449</t>
  </si>
  <si>
    <t xml:space="preserve">MIGUELINA ALFONSECA                                                                                                                                                                                                                                            </t>
  </si>
  <si>
    <t>4921017755326650</t>
  </si>
  <si>
    <t xml:space="preserve">20260410  </t>
  </si>
  <si>
    <t xml:space="preserve">8493892835                                                                                          </t>
  </si>
  <si>
    <t xml:space="preserve">8493892835     </t>
  </si>
  <si>
    <t xml:space="preserve"> MARIANNY RONDON              </t>
  </si>
  <si>
    <t xml:space="preserve">DISP LUNE VIER 8AM A 12PM                                                                           </t>
  </si>
  <si>
    <t xml:space="preserve">N/A                                                                                                 </t>
  </si>
  <si>
    <t xml:space="preserve">8293926465                                                                                          </t>
  </si>
  <si>
    <t xml:space="preserve">CERCA DE COLMADO GUERRERO                                                                           </t>
  </si>
  <si>
    <t xml:space="preserve">LA ALTAGRCIA                                                                                        </t>
  </si>
  <si>
    <t xml:space="preserve">LOS SOTOS                                                                                           </t>
  </si>
  <si>
    <t xml:space="preserve">CASA NO 4                                                                                           </t>
  </si>
  <si>
    <t xml:space="preserve">CALLE JERUSALEN                                                                                                                                                                                         </t>
  </si>
  <si>
    <t>40219295835</t>
  </si>
  <si>
    <t xml:space="preserve">MARIANNY RONDON                                                                                                                                                                                                                                                </t>
  </si>
  <si>
    <t>4921017807457420</t>
  </si>
  <si>
    <t xml:space="preserve">8094965112                                                                                          </t>
  </si>
  <si>
    <t xml:space="preserve">8094965112     </t>
  </si>
  <si>
    <t xml:space="preserve">MARISOL JOSE                  </t>
  </si>
  <si>
    <t xml:space="preserve">8094965112 DE 8AM A 5PM                                                                             </t>
  </si>
  <si>
    <t xml:space="preserve">PROX A COLMADO MIRANDA                                                                              </t>
  </si>
  <si>
    <t xml:space="preserve">LOS MORALES                                                                                         </t>
  </si>
  <si>
    <t xml:space="preserve">JUAN NEPOMUCENO SIERRA                                                                                                                                                                                  </t>
  </si>
  <si>
    <t>02500396540</t>
  </si>
  <si>
    <t xml:space="preserve">MARISOL JOSE                                                                                                                                                                                                                                                   </t>
  </si>
  <si>
    <t>4921017798558831</t>
  </si>
  <si>
    <t xml:space="preserve">8493420691                                                                                          </t>
  </si>
  <si>
    <t xml:space="preserve">8493420691     </t>
  </si>
  <si>
    <t xml:space="preserve">BOITE MANUFACTURING                                                                                 </t>
  </si>
  <si>
    <t xml:space="preserve">NAVE NO 3 ULTIMA NAVE                                                                               </t>
  </si>
  <si>
    <t xml:space="preserve">LUIS AMIAMA TIO                                                                                                                                                                                         </t>
  </si>
  <si>
    <t>40210156747</t>
  </si>
  <si>
    <t xml:space="preserve">GIRANDY MERCEDES PENA                                                                                                                                                                                                                                          </t>
  </si>
  <si>
    <t>4921017885943007</t>
  </si>
  <si>
    <t xml:space="preserve">20260330  </t>
  </si>
  <si>
    <t xml:space="preserve">8294652511                                                                                          </t>
  </si>
  <si>
    <t xml:space="preserve">8294652511     </t>
  </si>
  <si>
    <t xml:space="preserve">JOSE GARCIA                   </t>
  </si>
  <si>
    <t xml:space="preserve">8294652511 HORA 8AM A 5PM                                                                           </t>
  </si>
  <si>
    <t xml:space="preserve">FRENTE A FERRETRIA HERMANOS SANCHEZ                                                                 </t>
  </si>
  <si>
    <t xml:space="preserve">CASA NO 07                                                                                          </t>
  </si>
  <si>
    <t xml:space="preserve">NARCISO GONZALEZ                                                                                                                                                                                        </t>
  </si>
  <si>
    <t>02800863983</t>
  </si>
  <si>
    <t xml:space="preserve">JOSE GARCIA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</si>
  <si>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4921017736748758</t>
  </si>
  <si>
    <t xml:space="preserve">8294379409                                                                                          </t>
  </si>
  <si>
    <t xml:space="preserve">8294379409     </t>
  </si>
  <si>
    <t>40211636606</t>
  </si>
  <si>
    <t xml:space="preserve">SAMANTHA MARTINEZ                                                                                                                                                                                                                                              </t>
  </si>
  <si>
    <t>5415017890204923</t>
  </si>
  <si>
    <t xml:space="preserve">8493836722     </t>
  </si>
  <si>
    <t xml:space="preserve">JOENMY ZAPATA                 </t>
  </si>
  <si>
    <t xml:space="preserve">HIGUEY HIGUEY LA ALTAGRACIA                                                                         </t>
  </si>
  <si>
    <t xml:space="preserve">JUAN PABLO DUARTE                                                                                   </t>
  </si>
  <si>
    <t xml:space="preserve">ROSELIA CEDENO NO 31                                                                                                                                                                                    </t>
  </si>
  <si>
    <t>40210886913</t>
  </si>
  <si>
    <t xml:space="preserve">JOENMY ZAPATA                                                                                                                                                                                                                                                  </t>
  </si>
  <si>
    <t>4921017891528831</t>
  </si>
  <si>
    <t xml:space="preserve">8296780803     </t>
  </si>
  <si>
    <t xml:space="preserve">8092219898     </t>
  </si>
  <si>
    <t xml:space="preserve">CALLE CILITO DE CACERES                                                                                                                                                                                 </t>
  </si>
  <si>
    <t>40238913459</t>
  </si>
  <si>
    <t xml:space="preserve">JOELY MOTA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</si>
  <si>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4921017892670649</t>
  </si>
  <si>
    <t xml:space="preserve">8097296283                                                                                          </t>
  </si>
  <si>
    <t xml:space="preserve">8097296283     </t>
  </si>
  <si>
    <t>40213938992</t>
  </si>
  <si>
    <t xml:space="preserve">VIOLETA LOPEZ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</si>
  <si>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4921017892134198</t>
  </si>
  <si>
    <t xml:space="preserve">8496329307                                                                                          </t>
  </si>
  <si>
    <t xml:space="preserve">8496329307     </t>
  </si>
  <si>
    <t>40244276412</t>
  </si>
  <si>
    <t xml:space="preserve">NATANDERLYN FELIX                                                                                                                                                                                                                                              </t>
  </si>
  <si>
    <t>5415017889900692</t>
  </si>
  <si>
    <t xml:space="preserve">8492869832     </t>
  </si>
  <si>
    <t xml:space="preserve">8094681723     </t>
  </si>
  <si>
    <t xml:space="preserve">VILLA JUANA                                                                                         </t>
  </si>
  <si>
    <t xml:space="preserve">CERCA DEL PARQUE                                                                                                                                                                                        </t>
  </si>
  <si>
    <t>40209773460</t>
  </si>
  <si>
    <t xml:space="preserve">KATTY MARTINEZ                                                                                                                                                                                                                                                 </t>
  </si>
  <si>
    <t>4966017891317618</t>
  </si>
  <si>
    <t xml:space="preserve">8099732312     </t>
  </si>
  <si>
    <t xml:space="preserve">8095511093     </t>
  </si>
  <si>
    <t xml:space="preserve">CARR MACAO NO 78                                                                                                                                                                                        </t>
  </si>
  <si>
    <t>02800577740</t>
  </si>
  <si>
    <t xml:space="preserve">AMARALAISY MARTINEZ                                                                                                                                                                                                                                            </t>
  </si>
  <si>
    <t>4921017891465588</t>
  </si>
  <si>
    <t xml:space="preserve">8494501740                                                                                          </t>
  </si>
  <si>
    <t xml:space="preserve">8494501740     </t>
  </si>
  <si>
    <t>02200176408</t>
  </si>
  <si>
    <t xml:space="preserve">RUBEN MORILLO                                                                                                                                                                                                                                                  </t>
  </si>
  <si>
    <t>4921017891591340</t>
  </si>
  <si>
    <t xml:space="preserve">20260411  </t>
  </si>
  <si>
    <t xml:space="preserve">8095541985                                                                                          </t>
  </si>
  <si>
    <t xml:space="preserve">8095541985     </t>
  </si>
  <si>
    <t xml:space="preserve">MARTIN CASTRO                 </t>
  </si>
  <si>
    <t xml:space="preserve">B Y L                                                                                               </t>
  </si>
  <si>
    <t xml:space="preserve">8093587974 8 AM A 5 PM                                                                              </t>
  </si>
  <si>
    <t xml:space="preserve">PROXIMO A LA IGLESIA ASAMBLEA DE DIOS                                                               </t>
  </si>
  <si>
    <t xml:space="preserve">SAN PEDRO                                                                                           </t>
  </si>
  <si>
    <t xml:space="preserve">LLAMAR ANTES DE ENTREGAR                                                                            </t>
  </si>
  <si>
    <t xml:space="preserve">LAS CABALLERISAS NO 6                                                                                                                                                                                   </t>
  </si>
  <si>
    <t>02800565679</t>
  </si>
  <si>
    <t xml:space="preserve">MARTIN CASTRO                                                                                                                                                                                                                                                  </t>
  </si>
  <si>
    <t>5188017811315176</t>
  </si>
  <si>
    <t xml:space="preserve">8097573255     </t>
  </si>
  <si>
    <t xml:space="preserve">8095547895     </t>
  </si>
  <si>
    <t xml:space="preserve">SAN RAFAEL DEL YUMA LA ALTAGRA                                                                      </t>
  </si>
  <si>
    <t xml:space="preserve">SAN RAFAEL DEL YUMA                                                                                 </t>
  </si>
  <si>
    <t xml:space="preserve">CARLOS EMILIO CASTILLO NO 13 L                                                                                                                                                                          </t>
  </si>
  <si>
    <t>08500066587</t>
  </si>
  <si>
    <t xml:space="preserve">WALKIRIA RODRIGUEZ                                                                                                                                                                                                                                             </t>
  </si>
  <si>
    <t>4921017885434643</t>
  </si>
  <si>
    <t>Nombres</t>
  </si>
  <si>
    <t>.</t>
  </si>
  <si>
    <t>NO DE ORDENES</t>
  </si>
  <si>
    <t>TIPO DE EMISION</t>
  </si>
  <si>
    <t>CONTRATO</t>
  </si>
  <si>
    <t>FECHA DE DESPACHO</t>
  </si>
  <si>
    <t>FECHA DE EMBOZADA</t>
  </si>
  <si>
    <t>SUPLIDOR</t>
  </si>
  <si>
    <t>TEL 8</t>
  </si>
  <si>
    <t>TEL 7</t>
  </si>
  <si>
    <t>TEL 6</t>
  </si>
  <si>
    <t>TEL 5</t>
  </si>
  <si>
    <t>TEL 4</t>
  </si>
  <si>
    <t>TEL 3</t>
  </si>
  <si>
    <t>TEL 2</t>
  </si>
  <si>
    <t>TEL 1</t>
  </si>
  <si>
    <t>REFERENCIA 3</t>
  </si>
  <si>
    <t>REFERENCIA 2</t>
  </si>
  <si>
    <t>REFERENCIA 1</t>
  </si>
  <si>
    <t>DIRECCION 7</t>
  </si>
  <si>
    <t>DIRECCION 6</t>
  </si>
  <si>
    <t>DIRECCION 5</t>
  </si>
  <si>
    <t>DIRECCION 4</t>
  </si>
  <si>
    <t>DIRECCION 3</t>
  </si>
  <si>
    <t>DIRECCION 2</t>
  </si>
  <si>
    <t>DIRECCION 1</t>
  </si>
  <si>
    <t>Calle y No</t>
  </si>
  <si>
    <t>CEDULA</t>
  </si>
  <si>
    <t>CANTIDAD</t>
  </si>
  <si>
    <t>ZONA</t>
  </si>
  <si>
    <t>NOMBRE</t>
  </si>
  <si>
    <t>TC SANEADA</t>
  </si>
  <si>
    <t>GESTION</t>
  </si>
  <si>
    <t>PRESINTO</t>
  </si>
  <si>
    <t>FECHA</t>
  </si>
  <si>
    <t>TIPO DE ENTREGA</t>
  </si>
  <si>
    <t>TOTAL</t>
  </si>
  <si>
    <t>j</t>
  </si>
  <si>
    <t>4921017885434644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</si>
</sst>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2" borderId="1"/>
    <xf numFmtId="0" fontId="1" fillId="0" borderId="0"/>
  </cellStyleXfs>
  <cellXfs count="36">
    <xf numFmtId="0" fontId="0" fillId="0" borderId="0" xfId="0"/>
    <xf numFmtId="49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0" fontId="0" fillId="0" borderId="3" xfId="0" applyBorder="1"/>
    <xf numFmtId="14" fontId="0" fillId="3" borderId="2" xfId="0" applyNumberFormat="1" applyFill="1" applyBorder="1"/>
    <xf numFmtId="0" fontId="0" fillId="0" borderId="4" xfId="0" applyBorder="1"/>
    <xf numFmtId="49" fontId="0" fillId="0" borderId="2" xfId="0" applyNumberFormat="1" applyBorder="1" applyAlignment="1">
      <alignment horizontal="center"/>
    </xf>
    <xf numFmtId="0" fontId="0" fillId="0" borderId="2" xfId="0" applyBorder="1"/>
    <xf numFmtId="14" fontId="0" fillId="3" borderId="3" xfId="0" applyNumberFormat="1" applyFill="1" applyBorder="1"/>
    <xf numFmtId="0" fontId="0" fillId="0" borderId="5" xfId="0" applyBorder="1"/>
    <xf numFmtId="49" fontId="0" fillId="0" borderId="3" xfId="0" applyNumberFormat="1" applyBorder="1" applyAlignment="1">
      <alignment horizontal="center"/>
    </xf>
    <xf numFmtId="14" fontId="0" fillId="3" borderId="3" xfId="0" quotePrefix="1" applyNumberFormat="1" applyFill="1" applyBorder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2" fillId="4" borderId="3" xfId="0" applyFont="1" applyFill="1" applyBorder="1" applyAlignment="1">
      <alignment horizontal="right"/>
    </xf>
    <xf numFmtId="0" fontId="2" fillId="4" borderId="0" xfId="0" applyFont="1" applyFill="1"/>
    <xf numFmtId="0" fontId="2" fillId="4" borderId="3" xfId="0" applyFont="1" applyFill="1" applyBorder="1"/>
    <xf numFmtId="164" fontId="2" fillId="4" borderId="3" xfId="0" applyNumberFormat="1" applyFont="1" applyFill="1" applyBorder="1"/>
    <xf numFmtId="0" fontId="2" fillId="4" borderId="4" xfId="0" applyFont="1" applyFill="1" applyBorder="1"/>
    <xf numFmtId="0" fontId="2" fillId="0" borderId="0" xfId="0" applyFont="1"/>
    <xf numFmtId="0" fontId="1" fillId="0" borderId="1" xfId="1" applyFont="1" applyFill="1"/>
    <xf numFmtId="0" fontId="2" fillId="0" borderId="6" xfId="0" applyFont="1" applyBorder="1"/>
    <xf numFmtId="0" fontId="2" fillId="0" borderId="3" xfId="0" applyFont="1" applyBorder="1"/>
    <xf numFmtId="49" fontId="2" fillId="0" borderId="3" xfId="0" applyNumberFormat="1" applyFont="1" applyBorder="1"/>
    <xf numFmtId="165" fontId="2" fillId="0" borderId="3" xfId="0" applyNumberFormat="1" applyFont="1" applyBorder="1"/>
    <xf numFmtId="49" fontId="2" fillId="0" borderId="0" xfId="0" applyNumberFormat="1" applyFont="1"/>
    <xf numFmtId="0" fontId="0" fillId="3" borderId="3" xfId="0" applyFill="1" applyBorder="1"/>
    <xf numFmtId="14" fontId="0" fillId="0" borderId="3" xfId="0" applyNumberFormat="1" applyBorder="1"/>
    <xf numFmtId="0" fontId="0" fillId="3" borderId="4" xfId="0" applyFill="1" applyBorder="1"/>
    <xf numFmtId="0" fontId="2" fillId="0" borderId="6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4" fontId="2" fillId="0" borderId="3" xfId="0" applyNumberFormat="1" applyFont="1" applyBorder="1"/>
    <xf numFmtId="0" fontId="2" fillId="0" borderId="0" xfId="2" applyFont="1"/>
    <xf numFmtId="0" fontId="2" fillId="0" borderId="4" xfId="0" applyFont="1" applyBorder="1"/>
  </cellXfs>
  <cellStyles count="3">
    <cellStyle name="Normal" xfId="0" builtinId="0"/>
    <cellStyle name="Normal 94" xfId="2" xr:uid="{ABF74965-0EC8-401E-8D8C-0D9099DF1773}"/>
    <cellStyle name="Note 2" xfId="1" xr:uid="{BB2FC2F9-3898-49F6-BA11-9E724F9CA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9682-FDE7-4BA3-BF09-3C0156CBE814}">
  <sheetPr codeName="Hoja2"/>
  <dimension ref="A1:AJ1293"/>
  <sheetViews>
    <sheetView tabSelected="1" zoomScale="85" zoomScaleNormal="85" workbookViewId="0">
      <selection activeCell="F39" sqref="F39"/>
    </sheetView>
  </sheetViews>
  <sheetFormatPr defaultColWidth="9.109375" defaultRowHeight="14.4" x14ac:dyDescent="0.3"/>
  <cols>
    <col min="2" max="2" width="9.6640625" bestFit="1" customWidth="1"/>
    <col min="5" max="5" width="24.33203125" bestFit="1" customWidth="1"/>
    <col min="6" max="6" width="25.44140625" customWidth="1"/>
    <col min="7" max="7" width="22.88671875" bestFit="1" customWidth="1"/>
    <col min="9" max="9" width="12" bestFit="1" customWidth="1"/>
    <col min="10" max="10" width="110.33203125" bestFit="1" customWidth="1"/>
    <col min="11" max="11" width="72.88671875" bestFit="1" customWidth="1"/>
    <col min="12" max="12" width="61.44140625" bestFit="1" customWidth="1"/>
    <col min="30" max="30" width="20.33203125" bestFit="1" customWidth="1"/>
    <col min="31" max="31" width="19.5546875" bestFit="1" customWidth="1"/>
    <col min="32" max="32" width="10.88671875" bestFit="1" customWidth="1"/>
  </cols>
  <sheetData>
    <row r="1" spans="1:36" x14ac:dyDescent="0.3">
      <c r="A1" s="20" t="s">
        <v>451</v>
      </c>
      <c r="B1" s="20" t="s">
        <v>450</v>
      </c>
      <c r="C1" s="35" t="s">
        <v>449</v>
      </c>
      <c r="E1" s="20" t="s">
        <v>451</v>
      </c>
      <c r="F1" s="20" t="s">
        <v>450</v>
      </c>
      <c r="G1" s="34" t="s">
        <v>453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33"/>
      <c r="AF1" s="24"/>
      <c r="AG1" s="24"/>
      <c r="AH1" s="32"/>
      <c r="AI1" s="24"/>
      <c r="AJ1" s="31"/>
    </row>
    <row r="2" spans="1:36" x14ac:dyDescent="0.3">
      <c r="A2" s="30" t="s">
        <v>26</v>
      </c>
      <c r="B2" s="9">
        <v>46135</v>
      </c>
      <c r="C2" s="24"/>
      <c r="D2" s="29"/>
      <c r="E2" s="28" t="str">
        <f>A2</f>
        <v>AUTOMATICAS ZONA ESTE</v>
      </c>
      <c r="F2" s="9">
        <f>B2</f>
        <v>46135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7"/>
      <c r="AD2" s="25"/>
      <c r="AE2" s="26"/>
      <c r="AF2" s="25"/>
      <c r="AG2" s="25"/>
      <c r="AH2" s="24"/>
      <c r="AI2" s="24"/>
      <c r="AJ2" s="23"/>
    </row>
    <row r="3" spans="1:36" x14ac:dyDescent="0.3">
      <c r="A3" t="s">
        <v>452</v>
      </c>
      <c r="B3" s="22">
        <f>COUNTIF(H:H,1)</f>
        <v>44</v>
      </c>
      <c r="E3" t="s">
        <v>452</v>
      </c>
      <c r="F3">
        <f>B3</f>
        <v>44</v>
      </c>
    </row>
    <row r="4" spans="1:36" x14ac:dyDescent="0.3">
      <c r="E4" s="21" t="s">
        <v>417</v>
      </c>
    </row>
    <row r="5" spans="1:36" x14ac:dyDescent="0.3">
      <c r="A5" s="20" t="s">
        <v>451</v>
      </c>
      <c r="B5" s="20" t="s">
        <v>450</v>
      </c>
      <c r="C5" s="20" t="s">
        <v>449</v>
      </c>
      <c r="D5" s="20" t="s">
        <v>448</v>
      </c>
      <c r="E5" s="18" t="s">
        <v>447</v>
      </c>
      <c r="F5" s="18" t="s">
        <v>446</v>
      </c>
      <c r="G5" s="18" t="s">
        <v>445</v>
      </c>
      <c r="H5" s="18" t="s">
        <v>444</v>
      </c>
      <c r="I5" s="18" t="s">
        <v>443</v>
      </c>
      <c r="J5" s="17" t="s">
        <v>442</v>
      </c>
      <c r="K5" s="17" t="s">
        <v>441</v>
      </c>
      <c r="L5" s="17" t="s">
        <v>440</v>
      </c>
      <c r="M5" s="17" t="s">
        <v>439</v>
      </c>
      <c r="N5" s="17" t="s">
        <v>438</v>
      </c>
      <c r="O5" s="17" t="s">
        <v>437</v>
      </c>
      <c r="P5" s="17" t="s">
        <v>436</v>
      </c>
      <c r="Q5" s="17" t="s">
        <v>435</v>
      </c>
      <c r="R5" s="17" t="s">
        <v>434</v>
      </c>
      <c r="S5" s="17" t="s">
        <v>433</v>
      </c>
      <c r="T5" s="17" t="s">
        <v>432</v>
      </c>
      <c r="U5" s="17" t="s">
        <v>431</v>
      </c>
      <c r="V5" s="17" t="s">
        <v>430</v>
      </c>
      <c r="W5" s="17" t="s">
        <v>429</v>
      </c>
      <c r="X5" s="17" t="s">
        <v>428</v>
      </c>
      <c r="Y5" s="17" t="s">
        <v>427</v>
      </c>
      <c r="Z5" s="17" t="s">
        <v>426</v>
      </c>
      <c r="AA5" s="17" t="s">
        <v>425</v>
      </c>
      <c r="AB5" s="17" t="s">
        <v>424</v>
      </c>
      <c r="AC5" s="18" t="s">
        <v>423</v>
      </c>
      <c r="AD5" s="18" t="s">
        <v>422</v>
      </c>
      <c r="AE5" s="19" t="s">
        <v>421</v>
      </c>
      <c r="AF5" s="18" t="s">
        <v>420</v>
      </c>
      <c r="AG5" s="18" t="s">
        <v>419</v>
      </c>
      <c r="AH5" s="16" t="s">
        <v>418</v>
      </c>
      <c r="AI5" s="17" t="s">
        <v>417</v>
      </c>
      <c r="AJ5" s="16" t="s">
        <v>416</v>
      </c>
    </row>
    <row r="6" spans="1:36" x14ac:dyDescent="0.3">
      <c r="A6" s="14" t="s">
        <v>26</v>
      </c>
      <c r="B6" s="9">
        <v>46135</v>
      </c>
      <c r="C6" s="15"/>
      <c r="D6" s="3" t="s">
        <v>54</v>
      </c>
      <c r="E6" s="3" t="s">
        <v>415</v>
      </c>
      <c r="F6" s="3" t="s">
        <v>414</v>
      </c>
      <c r="G6" s="3" t="s">
        <v>238</v>
      </c>
      <c r="H6" s="3" t="s">
        <v>21</v>
      </c>
      <c r="I6" s="3" t="s">
        <v>413</v>
      </c>
      <c r="J6" s="3" t="s">
        <v>412</v>
      </c>
      <c r="K6" s="3" t="s">
        <v>411</v>
      </c>
      <c r="L6" s="3" t="s">
        <v>5</v>
      </c>
      <c r="M6" s="3" t="s">
        <v>47</v>
      </c>
      <c r="N6" s="3" t="s">
        <v>411</v>
      </c>
      <c r="O6" s="3" t="s">
        <v>410</v>
      </c>
      <c r="P6" s="3" t="s">
        <v>5</v>
      </c>
      <c r="Q6" s="3" t="s">
        <v>5</v>
      </c>
      <c r="R6" s="3" t="s">
        <v>5</v>
      </c>
      <c r="S6" s="3" t="s">
        <v>5</v>
      </c>
      <c r="T6" s="3" t="s">
        <v>203</v>
      </c>
      <c r="U6" s="3" t="s">
        <v>409</v>
      </c>
      <c r="V6" s="3" t="s">
        <v>33</v>
      </c>
      <c r="W6" s="3" t="s">
        <v>408</v>
      </c>
      <c r="X6" s="3" t="s">
        <v>5</v>
      </c>
      <c r="Y6" s="3" t="s">
        <v>5</v>
      </c>
      <c r="Z6" s="3" t="s">
        <v>5</v>
      </c>
      <c r="AA6" s="3" t="s">
        <v>5</v>
      </c>
      <c r="AB6" s="3" t="s">
        <v>5</v>
      </c>
      <c r="AC6" s="3" t="s">
        <v>4</v>
      </c>
      <c r="AD6" s="3" t="s">
        <v>29</v>
      </c>
      <c r="AE6" s="3" t="s">
        <v>2</v>
      </c>
      <c r="AF6" s="3" t="s">
        <v>28</v>
      </c>
      <c r="AG6" s="3" t="s">
        <v>27</v>
      </c>
    </row>
    <row r="7" spans="1:36" x14ac:dyDescent="0.3">
      <c r="A7" s="14" t="s">
        <v>26</v>
      </c>
      <c r="B7" s="9">
        <v>46135</v>
      </c>
      <c r="C7" s="15"/>
      <c r="D7" s="3" t="s">
        <v>25</v>
      </c>
      <c r="E7" s="3" t="s">
        <v>407</v>
      </c>
      <c r="F7" s="3" t="s">
        <v>406</v>
      </c>
      <c r="G7" s="3" t="s">
        <v>238</v>
      </c>
      <c r="H7" s="3" t="s">
        <v>21</v>
      </c>
      <c r="I7" s="3" t="s">
        <v>405</v>
      </c>
      <c r="J7" s="3" t="s">
        <v>404</v>
      </c>
      <c r="K7" s="3" t="s">
        <v>403</v>
      </c>
      <c r="L7" s="3" t="s">
        <v>402</v>
      </c>
      <c r="M7" s="3" t="s">
        <v>16</v>
      </c>
      <c r="N7" s="3" t="s">
        <v>15</v>
      </c>
      <c r="O7" s="3" t="s">
        <v>14</v>
      </c>
      <c r="P7" s="3" t="s">
        <v>401</v>
      </c>
      <c r="Q7" s="3" t="s">
        <v>400</v>
      </c>
      <c r="R7" s="3" t="s">
        <v>399</v>
      </c>
      <c r="S7" s="3" t="s">
        <v>172</v>
      </c>
      <c r="T7" s="3" t="s">
        <v>398</v>
      </c>
      <c r="U7" s="3" t="s">
        <v>397</v>
      </c>
      <c r="V7" s="3" t="s">
        <v>397</v>
      </c>
      <c r="W7" s="3" t="s">
        <v>144</v>
      </c>
      <c r="X7" s="3" t="s">
        <v>5</v>
      </c>
      <c r="Y7" s="3" t="s">
        <v>396</v>
      </c>
      <c r="Z7" s="3" t="s">
        <v>5</v>
      </c>
      <c r="AA7" s="3" t="s">
        <v>5</v>
      </c>
      <c r="AB7" s="3" t="s">
        <v>5</v>
      </c>
      <c r="AC7" s="3" t="s">
        <v>4</v>
      </c>
      <c r="AD7" s="3" t="s">
        <v>395</v>
      </c>
      <c r="AE7" s="3" t="s">
        <v>2</v>
      </c>
      <c r="AF7" s="3" t="s">
        <v>1</v>
      </c>
      <c r="AG7" s="3" t="s">
        <v>0</v>
      </c>
    </row>
    <row r="8" spans="1:36" x14ac:dyDescent="0.3">
      <c r="A8" s="14" t="s">
        <v>26</v>
      </c>
      <c r="B8" s="9">
        <v>46135</v>
      </c>
      <c r="C8" s="15"/>
      <c r="D8" s="3" t="s">
        <v>54</v>
      </c>
      <c r="E8" s="3" t="s">
        <v>394</v>
      </c>
      <c r="F8" s="3" t="s">
        <v>393</v>
      </c>
      <c r="G8" s="3" t="s">
        <v>238</v>
      </c>
      <c r="H8" s="3" t="s">
        <v>21</v>
      </c>
      <c r="I8" s="3" t="s">
        <v>392</v>
      </c>
      <c r="J8" s="3" t="s">
        <v>184</v>
      </c>
      <c r="K8" s="3" t="s">
        <v>5</v>
      </c>
      <c r="L8" s="3" t="s">
        <v>5</v>
      </c>
      <c r="M8" s="3" t="s">
        <v>47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 t="s">
        <v>5</v>
      </c>
      <c r="T8" s="3" t="s">
        <v>47</v>
      </c>
      <c r="U8" s="3" t="s">
        <v>391</v>
      </c>
      <c r="V8" s="3" t="s">
        <v>391</v>
      </c>
      <c r="W8" s="3" t="s">
        <v>391</v>
      </c>
      <c r="X8" s="3" t="s">
        <v>390</v>
      </c>
      <c r="Y8" s="3" t="s">
        <v>5</v>
      </c>
      <c r="Z8" s="3" t="s">
        <v>5</v>
      </c>
      <c r="AA8" s="3" t="s">
        <v>5</v>
      </c>
      <c r="AB8" s="3" t="s">
        <v>5</v>
      </c>
      <c r="AC8" s="3" t="s">
        <v>4</v>
      </c>
      <c r="AD8" s="3" t="s">
        <v>29</v>
      </c>
      <c r="AE8" s="3" t="s">
        <v>2</v>
      </c>
      <c r="AF8" s="3" t="s">
        <v>1</v>
      </c>
      <c r="AG8" s="3" t="s">
        <v>0</v>
      </c>
    </row>
    <row r="9" spans="1:36" x14ac:dyDescent="0.3">
      <c r="A9" s="14" t="s">
        <v>26</v>
      </c>
      <c r="B9" s="9">
        <v>46135</v>
      </c>
      <c r="C9" s="15"/>
      <c r="D9" s="3" t="s">
        <v>54</v>
      </c>
      <c r="E9" s="3" t="s">
        <v>389</v>
      </c>
      <c r="F9" s="3" t="s">
        <v>388</v>
      </c>
      <c r="G9" s="3" t="s">
        <v>238</v>
      </c>
      <c r="H9" s="3" t="s">
        <v>21</v>
      </c>
      <c r="I9" s="3" t="s">
        <v>387</v>
      </c>
      <c r="J9" s="3" t="s">
        <v>386</v>
      </c>
      <c r="K9" s="3" t="s">
        <v>234</v>
      </c>
      <c r="L9" s="3" t="s">
        <v>18</v>
      </c>
      <c r="M9" s="3" t="s">
        <v>47</v>
      </c>
      <c r="N9" s="3" t="s">
        <v>234</v>
      </c>
      <c r="O9" s="3" t="s">
        <v>71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203</v>
      </c>
      <c r="U9" s="3" t="s">
        <v>385</v>
      </c>
      <c r="V9" s="3" t="s">
        <v>385</v>
      </c>
      <c r="W9" s="3" t="s">
        <v>384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4</v>
      </c>
      <c r="AD9" s="3" t="s">
        <v>29</v>
      </c>
      <c r="AE9" s="3" t="s">
        <v>2</v>
      </c>
      <c r="AF9" s="3" t="s">
        <v>28</v>
      </c>
      <c r="AG9" s="3" t="s">
        <v>27</v>
      </c>
    </row>
    <row r="10" spans="1:36" x14ac:dyDescent="0.3">
      <c r="A10" s="14" t="s">
        <v>26</v>
      </c>
      <c r="B10" s="9">
        <v>46135</v>
      </c>
      <c r="C10" s="15"/>
      <c r="D10" s="3" t="s">
        <v>54</v>
      </c>
      <c r="E10" s="3" t="s">
        <v>383</v>
      </c>
      <c r="F10" s="3" t="s">
        <v>382</v>
      </c>
      <c r="G10" s="3" t="s">
        <v>238</v>
      </c>
      <c r="H10" s="3" t="s">
        <v>21</v>
      </c>
      <c r="I10" s="3" t="s">
        <v>381</v>
      </c>
      <c r="J10" s="3" t="s">
        <v>380</v>
      </c>
      <c r="K10" s="3" t="s">
        <v>234</v>
      </c>
      <c r="L10" s="3" t="s">
        <v>18</v>
      </c>
      <c r="M10" s="3" t="s">
        <v>47</v>
      </c>
      <c r="N10" s="3" t="s">
        <v>379</v>
      </c>
      <c r="O10" s="3" t="s">
        <v>71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203</v>
      </c>
      <c r="U10" s="3" t="s">
        <v>377</v>
      </c>
      <c r="V10" s="3" t="s">
        <v>378</v>
      </c>
      <c r="W10" s="3" t="s">
        <v>377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4</v>
      </c>
      <c r="AD10" s="3" t="s">
        <v>29</v>
      </c>
      <c r="AE10" s="3" t="s">
        <v>2</v>
      </c>
      <c r="AF10" s="3" t="s">
        <v>28</v>
      </c>
      <c r="AG10" s="3" t="s">
        <v>27</v>
      </c>
    </row>
    <row r="11" spans="1:36" x14ac:dyDescent="0.3">
      <c r="A11" s="14" t="s">
        <v>26</v>
      </c>
      <c r="B11" s="9">
        <v>46135</v>
      </c>
      <c r="C11" s="15"/>
      <c r="D11" s="3" t="s">
        <v>54</v>
      </c>
      <c r="E11" s="3" t="s">
        <v>376</v>
      </c>
      <c r="F11" s="3" t="s">
        <v>375</v>
      </c>
      <c r="G11" s="3" t="s">
        <v>238</v>
      </c>
      <c r="H11" s="3" t="s">
        <v>21</v>
      </c>
      <c r="I11" s="3" t="s">
        <v>374</v>
      </c>
      <c r="J11" s="3" t="s">
        <v>184</v>
      </c>
      <c r="K11" s="3" t="s">
        <v>5</v>
      </c>
      <c r="L11" s="3" t="s">
        <v>5</v>
      </c>
      <c r="M11" s="3" t="s">
        <v>47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3" t="s">
        <v>47</v>
      </c>
      <c r="U11" s="3" t="s">
        <v>373</v>
      </c>
      <c r="V11" s="3" t="s">
        <v>58</v>
      </c>
      <c r="W11" s="3" t="s">
        <v>373</v>
      </c>
      <c r="X11" s="3" t="s">
        <v>372</v>
      </c>
      <c r="Y11" s="3" t="s">
        <v>5</v>
      </c>
      <c r="Z11" s="3" t="s">
        <v>5</v>
      </c>
      <c r="AA11" s="3" t="s">
        <v>5</v>
      </c>
      <c r="AB11" s="3" t="s">
        <v>5</v>
      </c>
      <c r="AC11" s="3" t="s">
        <v>4</v>
      </c>
      <c r="AD11" s="3" t="s">
        <v>29</v>
      </c>
      <c r="AE11" s="3" t="s">
        <v>2</v>
      </c>
      <c r="AF11" s="3" t="s">
        <v>1</v>
      </c>
      <c r="AG11" s="3" t="s">
        <v>0</v>
      </c>
    </row>
    <row r="12" spans="1:36" x14ac:dyDescent="0.3">
      <c r="A12" s="14" t="s">
        <v>26</v>
      </c>
      <c r="B12" s="9">
        <v>46135</v>
      </c>
      <c r="C12" s="15"/>
      <c r="D12" s="3" t="s">
        <v>54</v>
      </c>
      <c r="E12" s="3" t="s">
        <v>371</v>
      </c>
      <c r="F12" s="3" t="s">
        <v>370</v>
      </c>
      <c r="G12" s="3" t="s">
        <v>238</v>
      </c>
      <c r="H12" s="3" t="s">
        <v>21</v>
      </c>
      <c r="I12" s="3" t="s">
        <v>369</v>
      </c>
      <c r="J12" s="3" t="s">
        <v>184</v>
      </c>
      <c r="K12" s="3" t="s">
        <v>5</v>
      </c>
      <c r="L12" s="3" t="s">
        <v>5</v>
      </c>
      <c r="M12" s="3" t="s">
        <v>47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47</v>
      </c>
      <c r="U12" s="3" t="s">
        <v>368</v>
      </c>
      <c r="V12" s="3" t="s">
        <v>33</v>
      </c>
      <c r="W12" s="3" t="s">
        <v>368</v>
      </c>
      <c r="X12" s="3" t="s">
        <v>367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4</v>
      </c>
      <c r="AD12" s="3" t="s">
        <v>29</v>
      </c>
      <c r="AE12" s="3" t="s">
        <v>2</v>
      </c>
      <c r="AF12" s="3" t="s">
        <v>1</v>
      </c>
      <c r="AG12" s="3" t="s">
        <v>0</v>
      </c>
    </row>
    <row r="13" spans="1:36" x14ac:dyDescent="0.3">
      <c r="A13" s="14" t="s">
        <v>26</v>
      </c>
      <c r="B13" s="9">
        <v>46135</v>
      </c>
      <c r="C13" s="15"/>
      <c r="D13" s="3" t="s">
        <v>54</v>
      </c>
      <c r="E13" s="3" t="s">
        <v>366</v>
      </c>
      <c r="F13" s="3" t="s">
        <v>365</v>
      </c>
      <c r="G13" s="3" t="s">
        <v>238</v>
      </c>
      <c r="H13" s="3" t="s">
        <v>21</v>
      </c>
      <c r="I13" s="3" t="s">
        <v>364</v>
      </c>
      <c r="J13" s="3" t="s">
        <v>363</v>
      </c>
      <c r="K13" s="3" t="s">
        <v>356</v>
      </c>
      <c r="L13" s="3" t="s">
        <v>71</v>
      </c>
      <c r="M13" s="3" t="s">
        <v>47</v>
      </c>
      <c r="N13" s="3" t="s">
        <v>49</v>
      </c>
      <c r="O13" s="3" t="s">
        <v>71</v>
      </c>
      <c r="P13" s="3" t="s">
        <v>5</v>
      </c>
      <c r="Q13" s="3" t="s">
        <v>5</v>
      </c>
      <c r="R13" s="3" t="s">
        <v>5</v>
      </c>
      <c r="S13" s="3" t="s">
        <v>5</v>
      </c>
      <c r="T13" s="3" t="s">
        <v>70</v>
      </c>
      <c r="U13" s="3" t="s">
        <v>33</v>
      </c>
      <c r="V13" s="3" t="s">
        <v>362</v>
      </c>
      <c r="W13" s="3" t="s">
        <v>361</v>
      </c>
      <c r="X13" s="3" t="s">
        <v>5</v>
      </c>
      <c r="Y13" s="3" t="s">
        <v>5</v>
      </c>
      <c r="Z13" s="3" t="s">
        <v>5</v>
      </c>
      <c r="AA13" s="3" t="s">
        <v>5</v>
      </c>
      <c r="AB13" s="3" t="s">
        <v>5</v>
      </c>
      <c r="AC13" s="3" t="s">
        <v>4</v>
      </c>
      <c r="AD13" s="3" t="s">
        <v>29</v>
      </c>
      <c r="AE13" s="3" t="s">
        <v>2</v>
      </c>
      <c r="AF13" s="3" t="s">
        <v>28</v>
      </c>
      <c r="AG13" s="3" t="s">
        <v>67</v>
      </c>
    </row>
    <row r="14" spans="1:36" x14ac:dyDescent="0.3">
      <c r="A14" s="14" t="s">
        <v>26</v>
      </c>
      <c r="B14" s="9">
        <v>46135</v>
      </c>
      <c r="C14" s="15"/>
      <c r="D14" s="3" t="s">
        <v>54</v>
      </c>
      <c r="E14" s="3" t="s">
        <v>360</v>
      </c>
      <c r="F14" s="3" t="s">
        <v>359</v>
      </c>
      <c r="G14" s="3" t="s">
        <v>238</v>
      </c>
      <c r="H14" s="3" t="s">
        <v>21</v>
      </c>
      <c r="I14" s="3" t="s">
        <v>358</v>
      </c>
      <c r="J14" s="3" t="s">
        <v>357</v>
      </c>
      <c r="K14" s="3" t="s">
        <v>356</v>
      </c>
      <c r="L14" s="3" t="s">
        <v>5</v>
      </c>
      <c r="M14" s="3" t="s">
        <v>47</v>
      </c>
      <c r="N14" s="3" t="s">
        <v>49</v>
      </c>
      <c r="O14" s="3" t="s">
        <v>355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354</v>
      </c>
      <c r="U14" s="3" t="s">
        <v>353</v>
      </c>
      <c r="V14" s="3" t="s">
        <v>46</v>
      </c>
      <c r="W14" s="3" t="s">
        <v>353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4</v>
      </c>
      <c r="AD14" s="3" t="s">
        <v>29</v>
      </c>
      <c r="AE14" s="3" t="s">
        <v>2</v>
      </c>
      <c r="AF14" s="3" t="s">
        <v>1</v>
      </c>
      <c r="AG14" s="3" t="s">
        <v>0</v>
      </c>
    </row>
    <row r="15" spans="1:36" x14ac:dyDescent="0.3">
      <c r="A15" s="14" t="s">
        <v>26</v>
      </c>
      <c r="B15" s="9">
        <v>46135</v>
      </c>
      <c r="C15" s="15"/>
      <c r="D15" s="3" t="s">
        <v>54</v>
      </c>
      <c r="E15" s="3" t="s">
        <v>352</v>
      </c>
      <c r="F15" s="3" t="s">
        <v>351</v>
      </c>
      <c r="G15" s="3" t="s">
        <v>238</v>
      </c>
      <c r="H15" s="3" t="s">
        <v>21</v>
      </c>
      <c r="I15" s="3" t="s">
        <v>350</v>
      </c>
      <c r="J15" s="3" t="s">
        <v>184</v>
      </c>
      <c r="K15" s="3" t="s">
        <v>5</v>
      </c>
      <c r="L15" s="3" t="s">
        <v>5</v>
      </c>
      <c r="M15" s="3" t="s">
        <v>47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 t="s">
        <v>47</v>
      </c>
      <c r="U15" s="3" t="s">
        <v>349</v>
      </c>
      <c r="V15" s="3" t="s">
        <v>349</v>
      </c>
      <c r="W15" s="3" t="s">
        <v>349</v>
      </c>
      <c r="X15" s="3" t="s">
        <v>348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4</v>
      </c>
      <c r="AD15" s="3" t="s">
        <v>29</v>
      </c>
      <c r="AE15" s="3" t="s">
        <v>2</v>
      </c>
      <c r="AF15" s="3" t="s">
        <v>1</v>
      </c>
      <c r="AG15" s="3" t="s">
        <v>0</v>
      </c>
    </row>
    <row r="16" spans="1:36" x14ac:dyDescent="0.3">
      <c r="A16" s="14" t="s">
        <v>26</v>
      </c>
      <c r="B16" s="9">
        <v>46135</v>
      </c>
      <c r="C16" s="15"/>
      <c r="D16" s="3" t="s">
        <v>25</v>
      </c>
      <c r="E16" s="3" t="s">
        <v>347</v>
      </c>
      <c r="F16" s="3" t="s">
        <v>346</v>
      </c>
      <c r="G16" s="3" t="s">
        <v>238</v>
      </c>
      <c r="H16" s="3" t="s">
        <v>21</v>
      </c>
      <c r="I16" s="3" t="s">
        <v>345</v>
      </c>
      <c r="J16" s="3" t="s">
        <v>344</v>
      </c>
      <c r="K16" s="3" t="s">
        <v>343</v>
      </c>
      <c r="L16" s="3" t="s">
        <v>299</v>
      </c>
      <c r="M16" s="3" t="s">
        <v>16</v>
      </c>
      <c r="N16" s="3" t="s">
        <v>15</v>
      </c>
      <c r="O16" s="3" t="s">
        <v>14</v>
      </c>
      <c r="P16" s="3" t="s">
        <v>342</v>
      </c>
      <c r="Q16" s="3" t="s">
        <v>341</v>
      </c>
      <c r="R16" s="3" t="s">
        <v>18</v>
      </c>
      <c r="S16" s="3" t="s">
        <v>18</v>
      </c>
      <c r="T16" s="3" t="s">
        <v>340</v>
      </c>
      <c r="U16" s="3" t="s">
        <v>339</v>
      </c>
      <c r="V16" s="3" t="s">
        <v>33</v>
      </c>
      <c r="W16" s="3" t="s">
        <v>339</v>
      </c>
      <c r="X16" s="3" t="s">
        <v>338</v>
      </c>
      <c r="Y16" s="3" t="s">
        <v>5</v>
      </c>
      <c r="Z16" s="3" t="s">
        <v>5</v>
      </c>
      <c r="AA16" s="3" t="s">
        <v>5</v>
      </c>
      <c r="AB16" s="3" t="s">
        <v>5</v>
      </c>
      <c r="AC16" s="3" t="s">
        <v>4</v>
      </c>
      <c r="AD16" s="3" t="s">
        <v>337</v>
      </c>
      <c r="AE16" s="3" t="s">
        <v>2</v>
      </c>
      <c r="AF16" s="3" t="s">
        <v>1</v>
      </c>
      <c r="AG16" s="3" t="s">
        <v>0</v>
      </c>
    </row>
    <row r="17" spans="1:33" x14ac:dyDescent="0.3">
      <c r="A17" s="14" t="s">
        <v>26</v>
      </c>
      <c r="B17" s="9">
        <v>46135</v>
      </c>
      <c r="C17" s="15"/>
      <c r="D17" s="3" t="s">
        <v>25</v>
      </c>
      <c r="E17" s="3" t="s">
        <v>336</v>
      </c>
      <c r="F17" s="3" t="s">
        <v>335</v>
      </c>
      <c r="G17" s="3" t="s">
        <v>238</v>
      </c>
      <c r="H17" s="3" t="s">
        <v>21</v>
      </c>
      <c r="I17" s="3" t="s">
        <v>334</v>
      </c>
      <c r="J17" s="3" t="s">
        <v>333</v>
      </c>
      <c r="K17" s="3" t="s">
        <v>5</v>
      </c>
      <c r="L17" s="3" t="s">
        <v>287</v>
      </c>
      <c r="M17" s="3" t="s">
        <v>16</v>
      </c>
      <c r="N17" s="3" t="s">
        <v>84</v>
      </c>
      <c r="O17" s="3" t="s">
        <v>84</v>
      </c>
      <c r="P17" s="3" t="s">
        <v>332</v>
      </c>
      <c r="Q17" s="3" t="s">
        <v>329</v>
      </c>
      <c r="R17" s="3" t="s">
        <v>331</v>
      </c>
      <c r="S17" s="3" t="s">
        <v>5</v>
      </c>
      <c r="T17" s="3" t="s">
        <v>145</v>
      </c>
      <c r="U17" s="3" t="s">
        <v>330</v>
      </c>
      <c r="V17" s="3" t="s">
        <v>33</v>
      </c>
      <c r="W17" s="3" t="s">
        <v>330</v>
      </c>
      <c r="X17" s="3" t="s">
        <v>329</v>
      </c>
      <c r="Y17" s="3" t="s">
        <v>5</v>
      </c>
      <c r="Z17" s="3" t="s">
        <v>5</v>
      </c>
      <c r="AA17" s="3" t="s">
        <v>5</v>
      </c>
      <c r="AB17" s="3" t="s">
        <v>5</v>
      </c>
      <c r="AC17" s="3" t="s">
        <v>4</v>
      </c>
      <c r="AD17" s="3" t="s">
        <v>29</v>
      </c>
      <c r="AE17" s="3" t="s">
        <v>2</v>
      </c>
      <c r="AF17" s="3" t="s">
        <v>1</v>
      </c>
      <c r="AG17" s="3" t="s">
        <v>0</v>
      </c>
    </row>
    <row r="18" spans="1:33" x14ac:dyDescent="0.3">
      <c r="A18" s="14" t="s">
        <v>26</v>
      </c>
      <c r="B18" s="9">
        <v>46135</v>
      </c>
      <c r="C18" s="15"/>
      <c r="D18" s="3" t="s">
        <v>25</v>
      </c>
      <c r="E18" s="3" t="s">
        <v>328</v>
      </c>
      <c r="F18" s="3" t="s">
        <v>327</v>
      </c>
      <c r="G18" s="3" t="s">
        <v>238</v>
      </c>
      <c r="H18" s="3" t="s">
        <v>21</v>
      </c>
      <c r="I18" s="3" t="s">
        <v>326</v>
      </c>
      <c r="J18" s="3" t="s">
        <v>325</v>
      </c>
      <c r="K18" s="3" t="s">
        <v>18</v>
      </c>
      <c r="L18" s="3" t="s">
        <v>324</v>
      </c>
      <c r="M18" s="3" t="s">
        <v>16</v>
      </c>
      <c r="N18" s="3" t="s">
        <v>15</v>
      </c>
      <c r="O18" s="3" t="s">
        <v>14</v>
      </c>
      <c r="P18" s="3" t="s">
        <v>323</v>
      </c>
      <c r="Q18" s="3" t="s">
        <v>322</v>
      </c>
      <c r="R18" s="3" t="s">
        <v>18</v>
      </c>
      <c r="S18" s="3" t="s">
        <v>18</v>
      </c>
      <c r="T18" s="3" t="s">
        <v>321</v>
      </c>
      <c r="U18" s="3" t="s">
        <v>320</v>
      </c>
      <c r="V18" s="3" t="s">
        <v>320</v>
      </c>
      <c r="W18" s="3" t="s">
        <v>320</v>
      </c>
      <c r="X18" s="3" t="s">
        <v>319</v>
      </c>
      <c r="Y18" s="3" t="s">
        <v>5</v>
      </c>
      <c r="Z18" s="3" t="s">
        <v>5</v>
      </c>
      <c r="AA18" s="3" t="s">
        <v>5</v>
      </c>
      <c r="AB18" s="3" t="s">
        <v>5</v>
      </c>
      <c r="AC18" s="3" t="s">
        <v>4</v>
      </c>
      <c r="AD18" s="3" t="s">
        <v>55</v>
      </c>
      <c r="AE18" s="3" t="s">
        <v>2</v>
      </c>
      <c r="AF18" s="3" t="s">
        <v>1</v>
      </c>
      <c r="AG18" s="3" t="s">
        <v>0</v>
      </c>
    </row>
    <row r="19" spans="1:33" x14ac:dyDescent="0.3">
      <c r="A19" s="14" t="s">
        <v>26</v>
      </c>
      <c r="B19" s="9">
        <v>46135</v>
      </c>
      <c r="C19" s="15"/>
      <c r="D19" s="3" t="s">
        <v>25</v>
      </c>
      <c r="E19" s="3" t="s">
        <v>318</v>
      </c>
      <c r="F19" s="3" t="s">
        <v>317</v>
      </c>
      <c r="G19" s="3" t="s">
        <v>238</v>
      </c>
      <c r="H19" s="3" t="s">
        <v>21</v>
      </c>
      <c r="I19" s="3" t="s">
        <v>316</v>
      </c>
      <c r="J19" s="3" t="s">
        <v>315</v>
      </c>
      <c r="K19" s="3" t="s">
        <v>314</v>
      </c>
      <c r="L19" s="3" t="s">
        <v>313</v>
      </c>
      <c r="M19" s="3" t="s">
        <v>16</v>
      </c>
      <c r="N19" s="3" t="s">
        <v>49</v>
      </c>
      <c r="O19" s="3" t="s">
        <v>312</v>
      </c>
      <c r="P19" s="3" t="s">
        <v>311</v>
      </c>
      <c r="Q19" s="3" t="s">
        <v>310</v>
      </c>
      <c r="R19" s="3" t="s">
        <v>309</v>
      </c>
      <c r="S19" s="3" t="s">
        <v>308</v>
      </c>
      <c r="T19" s="3" t="s">
        <v>307</v>
      </c>
      <c r="U19" s="3" t="s">
        <v>306</v>
      </c>
      <c r="V19" s="3" t="s">
        <v>306</v>
      </c>
      <c r="W19" s="3" t="s">
        <v>306</v>
      </c>
      <c r="X19" s="3" t="s">
        <v>305</v>
      </c>
      <c r="Y19" s="3" t="s">
        <v>5</v>
      </c>
      <c r="Z19" s="3" t="s">
        <v>5</v>
      </c>
      <c r="AA19" s="3" t="s">
        <v>5</v>
      </c>
      <c r="AB19" s="3" t="s">
        <v>5</v>
      </c>
      <c r="AC19" s="3" t="s">
        <v>4</v>
      </c>
      <c r="AD19" s="3" t="s">
        <v>304</v>
      </c>
      <c r="AE19" s="3" t="s">
        <v>2</v>
      </c>
      <c r="AF19" s="3" t="s">
        <v>1</v>
      </c>
      <c r="AG19" s="3" t="s">
        <v>0</v>
      </c>
    </row>
    <row r="20" spans="1:33" x14ac:dyDescent="0.3">
      <c r="A20" s="14" t="s">
        <v>26</v>
      </c>
      <c r="B20" s="9">
        <v>46135</v>
      </c>
      <c r="C20" s="15"/>
      <c r="D20" s="3" t="s">
        <v>25</v>
      </c>
      <c r="E20" s="3" t="s">
        <v>303</v>
      </c>
      <c r="F20" s="3" t="s">
        <v>302</v>
      </c>
      <c r="G20" s="3" t="s">
        <v>238</v>
      </c>
      <c r="H20" s="3" t="s">
        <v>21</v>
      </c>
      <c r="I20" s="3" t="s">
        <v>301</v>
      </c>
      <c r="J20" s="3" t="s">
        <v>300</v>
      </c>
      <c r="K20" s="3" t="s">
        <v>5</v>
      </c>
      <c r="L20" s="3" t="s">
        <v>299</v>
      </c>
      <c r="M20" s="3" t="s">
        <v>16</v>
      </c>
      <c r="N20" s="3" t="s">
        <v>15</v>
      </c>
      <c r="O20" s="3" t="s">
        <v>14</v>
      </c>
      <c r="P20" s="3" t="s">
        <v>5</v>
      </c>
      <c r="Q20" s="3" t="s">
        <v>298</v>
      </c>
      <c r="R20" s="3" t="s">
        <v>297</v>
      </c>
      <c r="S20" s="3" t="s">
        <v>5</v>
      </c>
      <c r="T20" s="3" t="s">
        <v>296</v>
      </c>
      <c r="U20" s="3" t="s">
        <v>295</v>
      </c>
      <c r="V20" s="3" t="s">
        <v>33</v>
      </c>
      <c r="W20" s="3" t="s">
        <v>295</v>
      </c>
      <c r="X20" s="3" t="s">
        <v>294</v>
      </c>
      <c r="Y20" s="3" t="s">
        <v>294</v>
      </c>
      <c r="Z20" s="3" t="s">
        <v>30</v>
      </c>
      <c r="AA20" s="3" t="s">
        <v>5</v>
      </c>
      <c r="AB20" s="3" t="s">
        <v>5</v>
      </c>
      <c r="AC20" s="3" t="s">
        <v>4</v>
      </c>
      <c r="AD20" s="3" t="s">
        <v>293</v>
      </c>
      <c r="AE20" s="3" t="s">
        <v>2</v>
      </c>
      <c r="AF20" s="3" t="s">
        <v>28</v>
      </c>
      <c r="AG20" s="3" t="s">
        <v>27</v>
      </c>
    </row>
    <row r="21" spans="1:33" x14ac:dyDescent="0.3">
      <c r="A21" s="14" t="s">
        <v>26</v>
      </c>
      <c r="B21" s="9">
        <v>46135</v>
      </c>
      <c r="C21" s="15"/>
      <c r="D21" s="3" t="s">
        <v>25</v>
      </c>
      <c r="E21" s="3" t="s">
        <v>292</v>
      </c>
      <c r="F21" s="3" t="s">
        <v>291</v>
      </c>
      <c r="G21" s="3" t="s">
        <v>238</v>
      </c>
      <c r="H21" s="3" t="s">
        <v>21</v>
      </c>
      <c r="I21" s="3" t="s">
        <v>290</v>
      </c>
      <c r="J21" s="3" t="s">
        <v>289</v>
      </c>
      <c r="K21" s="3" t="s">
        <v>288</v>
      </c>
      <c r="L21" s="3" t="s">
        <v>287</v>
      </c>
      <c r="M21" s="3" t="s">
        <v>16</v>
      </c>
      <c r="N21" s="3" t="s">
        <v>49</v>
      </c>
      <c r="O21" s="3" t="s">
        <v>49</v>
      </c>
      <c r="P21" s="3" t="s">
        <v>286</v>
      </c>
      <c r="Q21" s="3" t="s">
        <v>283</v>
      </c>
      <c r="R21" s="3" t="s">
        <v>285</v>
      </c>
      <c r="S21" s="3" t="s">
        <v>5</v>
      </c>
      <c r="T21" s="3" t="s">
        <v>145</v>
      </c>
      <c r="U21" s="3" t="s">
        <v>284</v>
      </c>
      <c r="V21" s="3" t="s">
        <v>284</v>
      </c>
      <c r="W21" s="3" t="s">
        <v>284</v>
      </c>
      <c r="X21" s="3" t="s">
        <v>283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4</v>
      </c>
      <c r="AD21" s="3" t="s">
        <v>29</v>
      </c>
      <c r="AE21" s="3" t="s">
        <v>2</v>
      </c>
      <c r="AF21" s="3" t="s">
        <v>1</v>
      </c>
      <c r="AG21" s="3" t="s">
        <v>0</v>
      </c>
    </row>
    <row r="22" spans="1:33" x14ac:dyDescent="0.3">
      <c r="A22" s="14" t="s">
        <v>26</v>
      </c>
      <c r="B22" s="9">
        <v>46135</v>
      </c>
      <c r="C22" s="15"/>
      <c r="D22" s="3" t="s">
        <v>25</v>
      </c>
      <c r="E22" s="3" t="s">
        <v>282</v>
      </c>
      <c r="F22" s="3" t="s">
        <v>281</v>
      </c>
      <c r="G22" s="3" t="s">
        <v>238</v>
      </c>
      <c r="H22" s="3" t="s">
        <v>21</v>
      </c>
      <c r="I22" s="3" t="s">
        <v>280</v>
      </c>
      <c r="J22" s="3" t="s">
        <v>279</v>
      </c>
      <c r="K22" s="3" t="s">
        <v>278</v>
      </c>
      <c r="L22" s="3" t="s">
        <v>277</v>
      </c>
      <c r="M22" s="3" t="s">
        <v>16</v>
      </c>
      <c r="N22" s="3" t="s">
        <v>15</v>
      </c>
      <c r="O22" s="3" t="s">
        <v>49</v>
      </c>
      <c r="P22" s="3" t="s">
        <v>276</v>
      </c>
      <c r="Q22" s="3" t="s">
        <v>275</v>
      </c>
      <c r="R22" s="3" t="s">
        <v>107</v>
      </c>
      <c r="S22" s="3" t="s">
        <v>5</v>
      </c>
      <c r="T22" s="3" t="s">
        <v>145</v>
      </c>
      <c r="U22" s="3" t="s">
        <v>274</v>
      </c>
      <c r="V22" s="3" t="s">
        <v>33</v>
      </c>
      <c r="W22" s="3" t="s">
        <v>274</v>
      </c>
      <c r="X22" s="3" t="s">
        <v>273</v>
      </c>
      <c r="Y22" s="3" t="s">
        <v>273</v>
      </c>
      <c r="Z22" s="3" t="s">
        <v>30</v>
      </c>
      <c r="AA22" s="3" t="s">
        <v>5</v>
      </c>
      <c r="AB22" s="3" t="s">
        <v>5</v>
      </c>
      <c r="AC22" s="3" t="s">
        <v>4</v>
      </c>
      <c r="AD22" s="3" t="s">
        <v>29</v>
      </c>
      <c r="AE22" s="3" t="s">
        <v>2</v>
      </c>
      <c r="AF22" s="3" t="s">
        <v>28</v>
      </c>
      <c r="AG22" s="3" t="s">
        <v>27</v>
      </c>
    </row>
    <row r="23" spans="1:33" x14ac:dyDescent="0.3">
      <c r="A23" s="14" t="s">
        <v>26</v>
      </c>
      <c r="B23" s="9">
        <v>46135</v>
      </c>
      <c r="C23" s="15"/>
      <c r="D23" s="3" t="s">
        <v>25</v>
      </c>
      <c r="E23" s="3" t="s">
        <v>272</v>
      </c>
      <c r="F23" s="3" t="s">
        <v>271</v>
      </c>
      <c r="G23" s="3" t="s">
        <v>238</v>
      </c>
      <c r="H23" s="3" t="s">
        <v>21</v>
      </c>
      <c r="I23" s="3" t="s">
        <v>270</v>
      </c>
      <c r="J23" s="3" t="s">
        <v>269</v>
      </c>
      <c r="K23" s="3" t="s">
        <v>18</v>
      </c>
      <c r="L23" s="3" t="s">
        <v>268</v>
      </c>
      <c r="M23" s="3" t="s">
        <v>16</v>
      </c>
      <c r="N23" s="3" t="s">
        <v>15</v>
      </c>
      <c r="O23" s="3" t="s">
        <v>14</v>
      </c>
      <c r="P23" s="3" t="s">
        <v>267</v>
      </c>
      <c r="Q23" s="3" t="s">
        <v>266</v>
      </c>
      <c r="R23" s="3" t="s">
        <v>265</v>
      </c>
      <c r="S23" s="3" t="s">
        <v>172</v>
      </c>
      <c r="T23" s="3" t="s">
        <v>264</v>
      </c>
      <c r="U23" s="3" t="s">
        <v>33</v>
      </c>
      <c r="V23" s="3" t="s">
        <v>33</v>
      </c>
      <c r="W23" s="3" t="s">
        <v>263</v>
      </c>
      <c r="X23" s="3" t="s">
        <v>262</v>
      </c>
      <c r="Y23" s="3" t="s">
        <v>30</v>
      </c>
      <c r="Z23" s="3" t="s">
        <v>78</v>
      </c>
      <c r="AA23" s="3" t="s">
        <v>5</v>
      </c>
      <c r="AB23" s="3" t="s">
        <v>5</v>
      </c>
      <c r="AC23" s="3" t="s">
        <v>4</v>
      </c>
      <c r="AD23" s="3" t="s">
        <v>261</v>
      </c>
      <c r="AE23" s="3" t="s">
        <v>2</v>
      </c>
      <c r="AF23" s="3" t="s">
        <v>1</v>
      </c>
      <c r="AG23" s="3" t="s">
        <v>0</v>
      </c>
    </row>
    <row r="24" spans="1:33" x14ac:dyDescent="0.3">
      <c r="A24" s="14" t="s">
        <v>26</v>
      </c>
      <c r="B24" s="9">
        <v>46135</v>
      </c>
      <c r="C24" s="15"/>
      <c r="D24" s="3" t="s">
        <v>54</v>
      </c>
      <c r="E24" s="3" t="s">
        <v>260</v>
      </c>
      <c r="F24" s="3" t="s">
        <v>259</v>
      </c>
      <c r="G24" s="3" t="s">
        <v>238</v>
      </c>
      <c r="H24" s="3" t="s">
        <v>21</v>
      </c>
      <c r="I24" s="3" t="s">
        <v>258</v>
      </c>
      <c r="J24" s="3" t="s">
        <v>184</v>
      </c>
      <c r="K24" s="3" t="s">
        <v>5</v>
      </c>
      <c r="L24" s="3" t="s">
        <v>5</v>
      </c>
      <c r="M24" s="3" t="s">
        <v>47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47</v>
      </c>
      <c r="U24" s="3" t="s">
        <v>257</v>
      </c>
      <c r="V24" s="3" t="s">
        <v>257</v>
      </c>
      <c r="W24" s="3" t="s">
        <v>257</v>
      </c>
      <c r="X24" s="3" t="s">
        <v>256</v>
      </c>
      <c r="Y24" s="3" t="s">
        <v>5</v>
      </c>
      <c r="Z24" s="3" t="s">
        <v>5</v>
      </c>
      <c r="AA24" s="3" t="s">
        <v>5</v>
      </c>
      <c r="AB24" s="3" t="s">
        <v>5</v>
      </c>
      <c r="AC24" s="3" t="s">
        <v>4</v>
      </c>
      <c r="AD24" s="3" t="s">
        <v>29</v>
      </c>
      <c r="AE24" s="3" t="s">
        <v>2</v>
      </c>
      <c r="AF24" s="3" t="s">
        <v>1</v>
      </c>
      <c r="AG24" s="3" t="s">
        <v>0</v>
      </c>
    </row>
    <row r="25" spans="1:33" x14ac:dyDescent="0.3">
      <c r="A25" s="14" t="s">
        <v>26</v>
      </c>
      <c r="B25" s="9">
        <v>46135</v>
      </c>
      <c r="C25" s="15"/>
      <c r="D25" s="3" t="s">
        <v>54</v>
      </c>
      <c r="E25" s="3" t="s">
        <v>255</v>
      </c>
      <c r="F25" s="3" t="s">
        <v>254</v>
      </c>
      <c r="G25" s="3" t="s">
        <v>238</v>
      </c>
      <c r="H25" s="3" t="s">
        <v>21</v>
      </c>
      <c r="I25" s="3" t="s">
        <v>253</v>
      </c>
      <c r="J25" s="3" t="s">
        <v>184</v>
      </c>
      <c r="K25" s="3" t="s">
        <v>5</v>
      </c>
      <c r="L25" s="3" t="s">
        <v>5</v>
      </c>
      <c r="M25" s="3" t="s">
        <v>47</v>
      </c>
      <c r="N25" s="3" t="s">
        <v>5</v>
      </c>
      <c r="O25" s="3" t="s">
        <v>5</v>
      </c>
      <c r="P25" s="3" t="s">
        <v>5</v>
      </c>
      <c r="Q25" s="3" t="s">
        <v>5</v>
      </c>
      <c r="R25" s="3" t="s">
        <v>5</v>
      </c>
      <c r="S25" s="3" t="s">
        <v>5</v>
      </c>
      <c r="T25" s="3" t="s">
        <v>47</v>
      </c>
      <c r="U25" s="3" t="s">
        <v>252</v>
      </c>
      <c r="V25" s="3" t="s">
        <v>251</v>
      </c>
      <c r="W25" s="3" t="s">
        <v>251</v>
      </c>
      <c r="X25" s="3" t="s">
        <v>5</v>
      </c>
      <c r="Y25" s="3" t="s">
        <v>250</v>
      </c>
      <c r="Z25" s="3" t="s">
        <v>5</v>
      </c>
      <c r="AA25" s="3" t="s">
        <v>5</v>
      </c>
      <c r="AB25" s="3" t="s">
        <v>5</v>
      </c>
      <c r="AC25" s="3" t="s">
        <v>4</v>
      </c>
      <c r="AD25" s="3" t="s">
        <v>29</v>
      </c>
      <c r="AE25" s="3" t="s">
        <v>2</v>
      </c>
      <c r="AF25" s="3" t="s">
        <v>1</v>
      </c>
      <c r="AG25" s="3" t="s">
        <v>0</v>
      </c>
    </row>
    <row r="26" spans="1:33" x14ac:dyDescent="0.3">
      <c r="A26" s="14" t="s">
        <v>26</v>
      </c>
      <c r="B26" s="9">
        <v>46135</v>
      </c>
      <c r="C26" s="15"/>
      <c r="D26" s="3" t="s">
        <v>54</v>
      </c>
      <c r="E26" s="3" t="s">
        <v>249</v>
      </c>
      <c r="F26" s="3" t="s">
        <v>248</v>
      </c>
      <c r="G26" s="3" t="s">
        <v>238</v>
      </c>
      <c r="H26" s="3" t="s">
        <v>21</v>
      </c>
      <c r="I26" s="3" t="s">
        <v>247</v>
      </c>
      <c r="J26" s="3" t="s">
        <v>246</v>
      </c>
      <c r="K26" s="3" t="s">
        <v>245</v>
      </c>
      <c r="L26" s="3" t="s">
        <v>245</v>
      </c>
      <c r="M26" s="3" t="s">
        <v>16</v>
      </c>
      <c r="N26" s="3" t="s">
        <v>15</v>
      </c>
      <c r="O26" s="3" t="s">
        <v>49</v>
      </c>
      <c r="P26" s="3" t="s">
        <v>244</v>
      </c>
      <c r="Q26" s="3" t="s">
        <v>48</v>
      </c>
      <c r="R26" s="3" t="s">
        <v>5</v>
      </c>
      <c r="S26" s="3" t="s">
        <v>5</v>
      </c>
      <c r="T26" s="3" t="s">
        <v>47</v>
      </c>
      <c r="U26" s="3" t="s">
        <v>242</v>
      </c>
      <c r="V26" s="3" t="s">
        <v>243</v>
      </c>
      <c r="W26" s="3" t="s">
        <v>242</v>
      </c>
      <c r="X26" s="3" t="s">
        <v>241</v>
      </c>
      <c r="Y26" s="3" t="s">
        <v>5</v>
      </c>
      <c r="Z26" s="3" t="s">
        <v>5</v>
      </c>
      <c r="AA26" s="3" t="s">
        <v>5</v>
      </c>
      <c r="AB26" s="3" t="s">
        <v>5</v>
      </c>
      <c r="AC26" s="3" t="s">
        <v>4</v>
      </c>
      <c r="AD26" s="3" t="s">
        <v>29</v>
      </c>
      <c r="AE26" s="3" t="s">
        <v>2</v>
      </c>
      <c r="AF26" s="3" t="s">
        <v>1</v>
      </c>
      <c r="AG26" s="3" t="s">
        <v>0</v>
      </c>
    </row>
    <row r="27" spans="1:33" x14ac:dyDescent="0.3">
      <c r="A27" s="14" t="s">
        <v>26</v>
      </c>
      <c r="B27" s="9">
        <v>46135</v>
      </c>
      <c r="C27" s="13"/>
      <c r="D27" s="2" t="s">
        <v>25</v>
      </c>
      <c r="E27" s="2" t="s">
        <v>240</v>
      </c>
      <c r="F27" s="2" t="s">
        <v>239</v>
      </c>
      <c r="G27" s="3" t="s">
        <v>238</v>
      </c>
      <c r="H27" s="2" t="s">
        <v>21</v>
      </c>
      <c r="I27" s="2" t="s">
        <v>237</v>
      </c>
      <c r="J27" s="2" t="s">
        <v>236</v>
      </c>
      <c r="K27" s="2" t="s">
        <v>235</v>
      </c>
      <c r="L27" s="2" t="s">
        <v>234</v>
      </c>
      <c r="M27" s="2" t="s">
        <v>16</v>
      </c>
      <c r="N27" s="2" t="s">
        <v>15</v>
      </c>
      <c r="O27" s="2" t="s">
        <v>49</v>
      </c>
      <c r="P27" s="2" t="s">
        <v>233</v>
      </c>
      <c r="Q27" s="2" t="s">
        <v>232</v>
      </c>
      <c r="R27" s="2" t="s">
        <v>18</v>
      </c>
      <c r="S27" s="2" t="s">
        <v>18</v>
      </c>
      <c r="T27" s="2" t="s">
        <v>34</v>
      </c>
      <c r="U27" s="2" t="s">
        <v>231</v>
      </c>
      <c r="V27" s="2" t="s">
        <v>231</v>
      </c>
      <c r="W27" s="2" t="s">
        <v>231</v>
      </c>
      <c r="X27" s="2" t="s">
        <v>230</v>
      </c>
      <c r="Y27" s="2" t="s">
        <v>230</v>
      </c>
      <c r="Z27" s="2" t="s">
        <v>78</v>
      </c>
      <c r="AA27" s="2" t="s">
        <v>5</v>
      </c>
      <c r="AB27" s="2" t="s">
        <v>5</v>
      </c>
      <c r="AC27" s="2" t="s">
        <v>4</v>
      </c>
      <c r="AD27" s="2" t="s">
        <v>29</v>
      </c>
      <c r="AE27" s="2" t="s">
        <v>2</v>
      </c>
      <c r="AF27" s="2" t="s">
        <v>28</v>
      </c>
      <c r="AG27" s="2" t="s">
        <v>27</v>
      </c>
    </row>
    <row r="28" spans="1:33" x14ac:dyDescent="0.3">
      <c r="A28" s="14" t="s">
        <v>26</v>
      </c>
      <c r="B28" s="9">
        <v>46135</v>
      </c>
      <c r="C28" s="15"/>
      <c r="D28" s="3" t="s">
        <v>54</v>
      </c>
      <c r="E28" s="3" t="s">
        <v>229</v>
      </c>
      <c r="F28" s="3" t="s">
        <v>228</v>
      </c>
      <c r="G28" s="3" t="s">
        <v>88</v>
      </c>
      <c r="H28" s="3" t="s">
        <v>21</v>
      </c>
      <c r="I28" s="3" t="s">
        <v>227</v>
      </c>
      <c r="J28" s="3" t="s">
        <v>226</v>
      </c>
      <c r="K28" s="3" t="s">
        <v>225</v>
      </c>
      <c r="L28" s="3" t="s">
        <v>225</v>
      </c>
      <c r="M28" s="3" t="s">
        <v>16</v>
      </c>
      <c r="N28" s="3" t="s">
        <v>84</v>
      </c>
      <c r="O28" s="3" t="s">
        <v>147</v>
      </c>
      <c r="P28" s="3" t="s">
        <v>18</v>
      </c>
      <c r="Q28" s="3" t="s">
        <v>48</v>
      </c>
      <c r="R28" s="3" t="s">
        <v>5</v>
      </c>
      <c r="S28" s="3" t="s">
        <v>5</v>
      </c>
      <c r="T28" s="3" t="s">
        <v>47</v>
      </c>
      <c r="U28" s="3" t="s">
        <v>223</v>
      </c>
      <c r="V28" s="3" t="s">
        <v>224</v>
      </c>
      <c r="W28" s="3" t="s">
        <v>223</v>
      </c>
      <c r="X28" s="3" t="s">
        <v>222</v>
      </c>
      <c r="Y28" s="3" t="s">
        <v>5</v>
      </c>
      <c r="Z28" s="3" t="s">
        <v>5</v>
      </c>
      <c r="AA28" s="3" t="s">
        <v>5</v>
      </c>
      <c r="AB28" s="3" t="s">
        <v>5</v>
      </c>
      <c r="AC28" s="3" t="s">
        <v>4</v>
      </c>
      <c r="AD28" s="3" t="s">
        <v>29</v>
      </c>
      <c r="AE28" s="3" t="s">
        <v>2</v>
      </c>
      <c r="AF28" s="3" t="s">
        <v>1</v>
      </c>
      <c r="AG28" s="3" t="s">
        <v>0</v>
      </c>
    </row>
    <row r="29" spans="1:33" x14ac:dyDescent="0.3">
      <c r="A29" s="14" t="s">
        <v>26</v>
      </c>
      <c r="B29" s="9">
        <v>46135</v>
      </c>
      <c r="C29" s="15"/>
      <c r="D29" s="3" t="s">
        <v>54</v>
      </c>
      <c r="E29" s="3" t="s">
        <v>221</v>
      </c>
      <c r="F29" s="3" t="s">
        <v>220</v>
      </c>
      <c r="G29" s="3" t="s">
        <v>88</v>
      </c>
      <c r="H29" s="3" t="s">
        <v>21</v>
      </c>
      <c r="I29" s="3" t="s">
        <v>219</v>
      </c>
      <c r="J29" s="3" t="s">
        <v>184</v>
      </c>
      <c r="K29" s="3" t="s">
        <v>5</v>
      </c>
      <c r="L29" s="3" t="s">
        <v>5</v>
      </c>
      <c r="M29" s="3" t="s">
        <v>47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 t="s">
        <v>47</v>
      </c>
      <c r="U29" s="3" t="s">
        <v>217</v>
      </c>
      <c r="V29" s="3" t="s">
        <v>218</v>
      </c>
      <c r="W29" s="3" t="s">
        <v>217</v>
      </c>
      <c r="X29" s="3" t="s">
        <v>216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4</v>
      </c>
      <c r="AD29" s="3" t="s">
        <v>29</v>
      </c>
      <c r="AE29" s="3" t="s">
        <v>2</v>
      </c>
      <c r="AF29" s="3" t="s">
        <v>1</v>
      </c>
      <c r="AG29" s="3" t="s">
        <v>0</v>
      </c>
    </row>
    <row r="30" spans="1:33" x14ac:dyDescent="0.3">
      <c r="A30" s="14" t="s">
        <v>26</v>
      </c>
      <c r="B30" s="9">
        <v>46135</v>
      </c>
      <c r="C30" s="15"/>
      <c r="D30" s="3" t="s">
        <v>54</v>
      </c>
      <c r="E30" s="3" t="s">
        <v>215</v>
      </c>
      <c r="F30" s="3" t="s">
        <v>214</v>
      </c>
      <c r="G30" s="3" t="s">
        <v>88</v>
      </c>
      <c r="H30" s="3" t="s">
        <v>21</v>
      </c>
      <c r="I30" s="3" t="s">
        <v>213</v>
      </c>
      <c r="J30" s="3" t="s">
        <v>184</v>
      </c>
      <c r="K30" s="3" t="s">
        <v>5</v>
      </c>
      <c r="L30" s="3" t="s">
        <v>5</v>
      </c>
      <c r="M30" s="3" t="s">
        <v>47</v>
      </c>
      <c r="N30" s="3" t="s">
        <v>5</v>
      </c>
      <c r="O30" s="3" t="s">
        <v>5</v>
      </c>
      <c r="P30" s="3" t="s">
        <v>5</v>
      </c>
      <c r="Q30" s="3" t="s">
        <v>5</v>
      </c>
      <c r="R30" s="3" t="s">
        <v>5</v>
      </c>
      <c r="S30" s="3" t="s">
        <v>5</v>
      </c>
      <c r="T30" s="3" t="s">
        <v>47</v>
      </c>
      <c r="U30" s="3" t="s">
        <v>212</v>
      </c>
      <c r="V30" s="3" t="s">
        <v>33</v>
      </c>
      <c r="W30" s="3" t="s">
        <v>212</v>
      </c>
      <c r="X30" s="3" t="s">
        <v>211</v>
      </c>
      <c r="Y30" s="3" t="s">
        <v>5</v>
      </c>
      <c r="Z30" s="3" t="s">
        <v>5</v>
      </c>
      <c r="AA30" s="3" t="s">
        <v>5</v>
      </c>
      <c r="AB30" s="3" t="s">
        <v>5</v>
      </c>
      <c r="AC30" s="3" t="s">
        <v>4</v>
      </c>
      <c r="AD30" s="3" t="s">
        <v>29</v>
      </c>
      <c r="AE30" s="3" t="s">
        <v>2</v>
      </c>
      <c r="AF30" s="3" t="s">
        <v>1</v>
      </c>
      <c r="AG30" s="3" t="s">
        <v>0</v>
      </c>
    </row>
    <row r="31" spans="1:33" x14ac:dyDescent="0.3">
      <c r="A31" s="14" t="s">
        <v>26</v>
      </c>
      <c r="B31" s="9">
        <v>46135</v>
      </c>
      <c r="C31" s="15"/>
      <c r="D31" s="3" t="s">
        <v>54</v>
      </c>
      <c r="E31" s="3" t="s">
        <v>210</v>
      </c>
      <c r="F31" s="3" t="s">
        <v>209</v>
      </c>
      <c r="G31" s="3" t="s">
        <v>88</v>
      </c>
      <c r="H31" s="3" t="s">
        <v>21</v>
      </c>
      <c r="I31" s="3" t="s">
        <v>208</v>
      </c>
      <c r="J31" s="3" t="s">
        <v>207</v>
      </c>
      <c r="K31" s="3" t="s">
        <v>84</v>
      </c>
      <c r="L31" s="3" t="s">
        <v>206</v>
      </c>
      <c r="M31" s="3" t="s">
        <v>47</v>
      </c>
      <c r="N31" s="3" t="s">
        <v>205</v>
      </c>
      <c r="O31" s="3" t="s">
        <v>204</v>
      </c>
      <c r="P31" s="3" t="s">
        <v>5</v>
      </c>
      <c r="Q31" s="3" t="s">
        <v>5</v>
      </c>
      <c r="R31" s="3" t="s">
        <v>5</v>
      </c>
      <c r="S31" s="3" t="s">
        <v>5</v>
      </c>
      <c r="T31" s="3" t="s">
        <v>203</v>
      </c>
      <c r="U31" s="3" t="s">
        <v>202</v>
      </c>
      <c r="V31" s="3" t="s">
        <v>33</v>
      </c>
      <c r="W31" s="3" t="s">
        <v>202</v>
      </c>
      <c r="X31" s="3" t="s">
        <v>5</v>
      </c>
      <c r="Y31" s="3" t="s">
        <v>5</v>
      </c>
      <c r="Z31" s="3" t="s">
        <v>5</v>
      </c>
      <c r="AA31" s="3" t="s">
        <v>5</v>
      </c>
      <c r="AB31" s="3" t="s">
        <v>5</v>
      </c>
      <c r="AC31" s="3" t="s">
        <v>4</v>
      </c>
      <c r="AD31" s="3" t="s">
        <v>29</v>
      </c>
      <c r="AE31" s="3" t="s">
        <v>2</v>
      </c>
      <c r="AF31" s="3" t="s">
        <v>28</v>
      </c>
      <c r="AG31" s="3" t="s">
        <v>27</v>
      </c>
    </row>
    <row r="32" spans="1:33" x14ac:dyDescent="0.3">
      <c r="A32" s="14" t="s">
        <v>26</v>
      </c>
      <c r="B32" s="9">
        <v>46135</v>
      </c>
      <c r="C32" s="15"/>
      <c r="D32" s="3" t="s">
        <v>54</v>
      </c>
      <c r="E32" s="3" t="s">
        <v>201</v>
      </c>
      <c r="F32" s="3" t="s">
        <v>200</v>
      </c>
      <c r="G32" s="3" t="s">
        <v>88</v>
      </c>
      <c r="H32" s="3" t="s">
        <v>21</v>
      </c>
      <c r="I32" s="3" t="s">
        <v>199</v>
      </c>
      <c r="J32" s="3" t="s">
        <v>198</v>
      </c>
      <c r="K32" s="3" t="s">
        <v>196</v>
      </c>
      <c r="L32" s="3" t="s">
        <v>5</v>
      </c>
      <c r="M32" s="3" t="s">
        <v>47</v>
      </c>
      <c r="N32" s="3" t="s">
        <v>197</v>
      </c>
      <c r="O32" s="3" t="s">
        <v>196</v>
      </c>
      <c r="P32" s="3" t="s">
        <v>5</v>
      </c>
      <c r="Q32" s="3" t="s">
        <v>5</v>
      </c>
      <c r="R32" s="3" t="s">
        <v>5</v>
      </c>
      <c r="S32" s="3" t="s">
        <v>5</v>
      </c>
      <c r="T32" s="3" t="s">
        <v>195</v>
      </c>
      <c r="U32" s="3" t="s">
        <v>194</v>
      </c>
      <c r="V32" s="3" t="s">
        <v>194</v>
      </c>
      <c r="W32" s="3" t="s">
        <v>193</v>
      </c>
      <c r="X32" s="3" t="s">
        <v>5</v>
      </c>
      <c r="Y32" s="3" t="s">
        <v>5</v>
      </c>
      <c r="Z32" s="3" t="s">
        <v>5</v>
      </c>
      <c r="AA32" s="3" t="s">
        <v>5</v>
      </c>
      <c r="AB32" s="3" t="s">
        <v>5</v>
      </c>
      <c r="AC32" s="3" t="s">
        <v>4</v>
      </c>
      <c r="AD32" s="3" t="s">
        <v>29</v>
      </c>
      <c r="AE32" s="3" t="s">
        <v>2</v>
      </c>
      <c r="AF32" s="3" t="s">
        <v>1</v>
      </c>
      <c r="AG32" s="3" t="s">
        <v>0</v>
      </c>
    </row>
    <row r="33" spans="1:33" x14ac:dyDescent="0.3">
      <c r="A33" s="14" t="s">
        <v>26</v>
      </c>
      <c r="B33" s="9">
        <v>46135</v>
      </c>
      <c r="C33" s="15"/>
      <c r="D33" s="3" t="s">
        <v>54</v>
      </c>
      <c r="E33" s="3" t="s">
        <v>192</v>
      </c>
      <c r="F33" s="3" t="s">
        <v>191</v>
      </c>
      <c r="G33" s="3" t="s">
        <v>88</v>
      </c>
      <c r="H33" s="3" t="s">
        <v>21</v>
      </c>
      <c r="I33" s="3" t="s">
        <v>190</v>
      </c>
      <c r="J33" s="3" t="s">
        <v>184</v>
      </c>
      <c r="K33" s="3" t="s">
        <v>5</v>
      </c>
      <c r="L33" s="3" t="s">
        <v>5</v>
      </c>
      <c r="M33" s="3" t="s">
        <v>47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 t="s">
        <v>47</v>
      </c>
      <c r="U33" s="3" t="s">
        <v>189</v>
      </c>
      <c r="V33" s="3" t="s">
        <v>189</v>
      </c>
      <c r="W33" s="3" t="s">
        <v>144</v>
      </c>
      <c r="X33" s="3" t="s">
        <v>5</v>
      </c>
      <c r="Y33" s="3" t="s">
        <v>188</v>
      </c>
      <c r="Z33" s="3" t="s">
        <v>5</v>
      </c>
      <c r="AA33" s="3" t="s">
        <v>5</v>
      </c>
      <c r="AB33" s="3" t="s">
        <v>5</v>
      </c>
      <c r="AC33" s="3" t="s">
        <v>4</v>
      </c>
      <c r="AD33" s="3" t="s">
        <v>29</v>
      </c>
      <c r="AE33" s="3" t="s">
        <v>2</v>
      </c>
      <c r="AF33" s="3" t="s">
        <v>1</v>
      </c>
      <c r="AG33" s="3" t="s">
        <v>0</v>
      </c>
    </row>
    <row r="34" spans="1:33" x14ac:dyDescent="0.3">
      <c r="A34" s="14" t="s">
        <v>26</v>
      </c>
      <c r="B34" s="9">
        <v>46135</v>
      </c>
      <c r="C34" s="15"/>
      <c r="D34" s="3" t="s">
        <v>54</v>
      </c>
      <c r="E34" s="3" t="s">
        <v>187</v>
      </c>
      <c r="F34" s="3" t="s">
        <v>186</v>
      </c>
      <c r="G34" s="3" t="s">
        <v>88</v>
      </c>
      <c r="H34" s="3" t="s">
        <v>21</v>
      </c>
      <c r="I34" s="3" t="s">
        <v>185</v>
      </c>
      <c r="J34" s="3" t="s">
        <v>184</v>
      </c>
      <c r="K34" s="3" t="s">
        <v>5</v>
      </c>
      <c r="L34" s="3" t="s">
        <v>5</v>
      </c>
      <c r="M34" s="3" t="s">
        <v>47</v>
      </c>
      <c r="N34" s="3" t="s">
        <v>5</v>
      </c>
      <c r="O34" s="3" t="s">
        <v>5</v>
      </c>
      <c r="P34" s="3" t="s">
        <v>5</v>
      </c>
      <c r="Q34" s="3" t="s">
        <v>5</v>
      </c>
      <c r="R34" s="3" t="s">
        <v>5</v>
      </c>
      <c r="S34" s="3" t="s">
        <v>5</v>
      </c>
      <c r="T34" s="3" t="s">
        <v>47</v>
      </c>
      <c r="U34" s="3" t="s">
        <v>183</v>
      </c>
      <c r="V34" s="3" t="s">
        <v>183</v>
      </c>
      <c r="W34" s="3" t="s">
        <v>183</v>
      </c>
      <c r="X34" s="3" t="s">
        <v>182</v>
      </c>
      <c r="Y34" s="3" t="s">
        <v>5</v>
      </c>
      <c r="Z34" s="3" t="s">
        <v>5</v>
      </c>
      <c r="AA34" s="3" t="s">
        <v>5</v>
      </c>
      <c r="AB34" s="3" t="s">
        <v>5</v>
      </c>
      <c r="AC34" s="3" t="s">
        <v>4</v>
      </c>
      <c r="AD34" s="3" t="s">
        <v>29</v>
      </c>
      <c r="AE34" s="3" t="s">
        <v>2</v>
      </c>
      <c r="AF34" s="3" t="s">
        <v>1</v>
      </c>
      <c r="AG34" s="3" t="s">
        <v>0</v>
      </c>
    </row>
    <row r="35" spans="1:33" x14ac:dyDescent="0.3">
      <c r="A35" s="14" t="s">
        <v>26</v>
      </c>
      <c r="B35" s="9">
        <v>46135</v>
      </c>
      <c r="C35" s="15"/>
      <c r="D35" s="3" t="s">
        <v>25</v>
      </c>
      <c r="E35" s="3" t="s">
        <v>181</v>
      </c>
      <c r="F35" s="3" t="s">
        <v>180</v>
      </c>
      <c r="G35" s="3" t="s">
        <v>88</v>
      </c>
      <c r="H35" s="3" t="s">
        <v>21</v>
      </c>
      <c r="I35" s="3" t="s">
        <v>179</v>
      </c>
      <c r="J35" s="3" t="s">
        <v>178</v>
      </c>
      <c r="K35" s="3" t="s">
        <v>18</v>
      </c>
      <c r="L35" s="3" t="s">
        <v>177</v>
      </c>
      <c r="M35" s="3" t="s">
        <v>16</v>
      </c>
      <c r="N35" s="3" t="s">
        <v>84</v>
      </c>
      <c r="O35" s="3" t="s">
        <v>176</v>
      </c>
      <c r="P35" s="3" t="s">
        <v>175</v>
      </c>
      <c r="Q35" s="3" t="s">
        <v>174</v>
      </c>
      <c r="R35" s="3" t="s">
        <v>173</v>
      </c>
      <c r="S35" s="3" t="s">
        <v>172</v>
      </c>
      <c r="T35" s="3" t="s">
        <v>171</v>
      </c>
      <c r="U35" s="3" t="s">
        <v>170</v>
      </c>
      <c r="V35" s="3" t="s">
        <v>33</v>
      </c>
      <c r="W35" s="3" t="s">
        <v>169</v>
      </c>
      <c r="X35" s="3" t="s">
        <v>168</v>
      </c>
      <c r="Y35" s="3" t="s">
        <v>167</v>
      </c>
      <c r="Z35" s="3" t="s">
        <v>5</v>
      </c>
      <c r="AA35" s="3" t="s">
        <v>5</v>
      </c>
      <c r="AB35" s="3" t="s">
        <v>5</v>
      </c>
      <c r="AC35" s="3" t="s">
        <v>4</v>
      </c>
      <c r="AD35" s="3" t="s">
        <v>153</v>
      </c>
      <c r="AE35" s="3" t="s">
        <v>2</v>
      </c>
      <c r="AF35" s="3" t="s">
        <v>1</v>
      </c>
      <c r="AG35" s="3" t="s">
        <v>0</v>
      </c>
    </row>
    <row r="36" spans="1:33" x14ac:dyDescent="0.3">
      <c r="A36" s="14" t="s">
        <v>26</v>
      </c>
      <c r="B36" s="9">
        <v>46135</v>
      </c>
      <c r="C36" s="15"/>
      <c r="D36" s="3" t="s">
        <v>25</v>
      </c>
      <c r="E36" s="3" t="s">
        <v>166</v>
      </c>
      <c r="F36" s="3" t="s">
        <v>165</v>
      </c>
      <c r="G36" s="3" t="s">
        <v>88</v>
      </c>
      <c r="H36" s="3" t="s">
        <v>21</v>
      </c>
      <c r="I36" s="3" t="s">
        <v>164</v>
      </c>
      <c r="J36" s="3" t="s">
        <v>163</v>
      </c>
      <c r="K36" s="3" t="s">
        <v>18</v>
      </c>
      <c r="L36" s="3" t="s">
        <v>162</v>
      </c>
      <c r="M36" s="3" t="s">
        <v>16</v>
      </c>
      <c r="N36" s="3" t="s">
        <v>84</v>
      </c>
      <c r="O36" s="3" t="s">
        <v>161</v>
      </c>
      <c r="P36" s="3" t="s">
        <v>160</v>
      </c>
      <c r="Q36" s="3" t="s">
        <v>159</v>
      </c>
      <c r="R36" s="3" t="s">
        <v>158</v>
      </c>
      <c r="S36" s="3" t="s">
        <v>157</v>
      </c>
      <c r="T36" s="3" t="s">
        <v>156</v>
      </c>
      <c r="U36" s="3" t="s">
        <v>155</v>
      </c>
      <c r="V36" s="3" t="s">
        <v>33</v>
      </c>
      <c r="W36" s="3" t="s">
        <v>155</v>
      </c>
      <c r="X36" s="3" t="s">
        <v>154</v>
      </c>
      <c r="Y36" s="3" t="s">
        <v>5</v>
      </c>
      <c r="Z36" s="3" t="s">
        <v>5</v>
      </c>
      <c r="AA36" s="3" t="s">
        <v>5</v>
      </c>
      <c r="AB36" s="3" t="s">
        <v>5</v>
      </c>
      <c r="AC36" s="3" t="s">
        <v>4</v>
      </c>
      <c r="AD36" s="3" t="s">
        <v>153</v>
      </c>
      <c r="AE36" s="3" t="s">
        <v>2</v>
      </c>
      <c r="AF36" s="3" t="s">
        <v>1</v>
      </c>
      <c r="AG36" s="3" t="s">
        <v>0</v>
      </c>
    </row>
    <row r="37" spans="1:33" x14ac:dyDescent="0.3">
      <c r="A37" s="14" t="s">
        <v>26</v>
      </c>
      <c r="B37" s="9">
        <v>46135</v>
      </c>
      <c r="C37" s="15"/>
      <c r="D37" s="3" t="s">
        <v>25</v>
      </c>
      <c r="E37" s="3" t="s">
        <v>152</v>
      </c>
      <c r="F37" s="3" t="s">
        <v>151</v>
      </c>
      <c r="G37" s="3" t="s">
        <v>88</v>
      </c>
      <c r="H37" s="3" t="s">
        <v>21</v>
      </c>
      <c r="I37" s="3" t="s">
        <v>150</v>
      </c>
      <c r="J37" s="3" t="s">
        <v>149</v>
      </c>
      <c r="K37" s="3" t="s">
        <v>5</v>
      </c>
      <c r="L37" s="3" t="s">
        <v>148</v>
      </c>
      <c r="M37" s="3" t="s">
        <v>16</v>
      </c>
      <c r="N37" s="3" t="s">
        <v>84</v>
      </c>
      <c r="O37" s="3" t="s">
        <v>147</v>
      </c>
      <c r="P37" s="3" t="s">
        <v>146</v>
      </c>
      <c r="Q37" s="3" t="s">
        <v>142</v>
      </c>
      <c r="R37" s="3" t="s">
        <v>5</v>
      </c>
      <c r="S37" s="3" t="s">
        <v>5</v>
      </c>
      <c r="T37" s="3" t="s">
        <v>145</v>
      </c>
      <c r="U37" s="3" t="s">
        <v>143</v>
      </c>
      <c r="V37" s="3" t="s">
        <v>144</v>
      </c>
      <c r="W37" s="3" t="s">
        <v>143</v>
      </c>
      <c r="X37" s="3" t="s">
        <v>142</v>
      </c>
      <c r="Y37" s="3" t="s">
        <v>5</v>
      </c>
      <c r="Z37" s="3" t="s">
        <v>5</v>
      </c>
      <c r="AA37" s="3" t="s">
        <v>5</v>
      </c>
      <c r="AB37" s="3" t="s">
        <v>5</v>
      </c>
      <c r="AC37" s="3" t="s">
        <v>4</v>
      </c>
      <c r="AD37" s="3" t="s">
        <v>29</v>
      </c>
      <c r="AE37" s="3" t="s">
        <v>2</v>
      </c>
      <c r="AF37" s="3" t="s">
        <v>1</v>
      </c>
      <c r="AG37" s="3" t="s">
        <v>0</v>
      </c>
    </row>
    <row r="38" spans="1:33" x14ac:dyDescent="0.3">
      <c r="A38" s="14" t="s">
        <v>26</v>
      </c>
      <c r="B38" s="9">
        <v>46135</v>
      </c>
      <c r="C38" s="15"/>
      <c r="D38" s="3" t="s">
        <v>54</v>
      </c>
      <c r="E38" s="3" t="s">
        <v>141</v>
      </c>
      <c r="F38" s="3" t="s">
        <v>140</v>
      </c>
      <c r="G38" s="3" t="s">
        <v>88</v>
      </c>
      <c r="H38" s="3" t="s">
        <v>21</v>
      </c>
      <c r="I38" s="3" t="s">
        <v>139</v>
      </c>
      <c r="J38" s="3" t="s">
        <v>138</v>
      </c>
      <c r="K38" s="3" t="s">
        <v>137</v>
      </c>
      <c r="L38" s="3" t="s">
        <v>137</v>
      </c>
      <c r="M38" s="3" t="s">
        <v>16</v>
      </c>
      <c r="N38" s="3" t="s">
        <v>84</v>
      </c>
      <c r="O38" s="3" t="s">
        <v>128</v>
      </c>
      <c r="P38" s="3" t="s">
        <v>18</v>
      </c>
      <c r="Q38" s="3" t="s">
        <v>48</v>
      </c>
      <c r="R38" s="3" t="s">
        <v>5</v>
      </c>
      <c r="S38" s="3" t="s">
        <v>5</v>
      </c>
      <c r="T38" s="3" t="s">
        <v>47</v>
      </c>
      <c r="U38" s="3" t="s">
        <v>135</v>
      </c>
      <c r="V38" s="3" t="s">
        <v>136</v>
      </c>
      <c r="W38" s="3" t="s">
        <v>135</v>
      </c>
      <c r="X38" s="3" t="s">
        <v>134</v>
      </c>
      <c r="Y38" s="3" t="s">
        <v>5</v>
      </c>
      <c r="Z38" s="3" t="s">
        <v>5</v>
      </c>
      <c r="AA38" s="3" t="s">
        <v>5</v>
      </c>
      <c r="AB38" s="3" t="s">
        <v>5</v>
      </c>
      <c r="AC38" s="3" t="s">
        <v>4</v>
      </c>
      <c r="AD38" s="3" t="s">
        <v>29</v>
      </c>
      <c r="AE38" s="3" t="s">
        <v>2</v>
      </c>
      <c r="AF38" s="3" t="s">
        <v>1</v>
      </c>
      <c r="AG38" s="3" t="s">
        <v>0</v>
      </c>
    </row>
    <row r="39" spans="1:33" x14ac:dyDescent="0.3">
      <c r="A39" s="14" t="s">
        <v>26</v>
      </c>
      <c r="B39" s="9">
        <v>46135</v>
      </c>
      <c r="C39" s="15"/>
      <c r="D39" s="3" t="s">
        <v>54</v>
      </c>
      <c r="E39" s="3" t="s">
        <v>133</v>
      </c>
      <c r="F39" s="3" t="s">
        <v>132</v>
      </c>
      <c r="G39" s="3" t="s">
        <v>88</v>
      </c>
      <c r="H39" s="3" t="s">
        <v>21</v>
      </c>
      <c r="I39" s="3" t="s">
        <v>131</v>
      </c>
      <c r="J39" s="3" t="s">
        <v>130</v>
      </c>
      <c r="K39" s="3" t="s">
        <v>129</v>
      </c>
      <c r="L39" s="3" t="s">
        <v>129</v>
      </c>
      <c r="M39" s="3" t="s">
        <v>16</v>
      </c>
      <c r="N39" s="3" t="s">
        <v>84</v>
      </c>
      <c r="O39" s="3" t="s">
        <v>128</v>
      </c>
      <c r="P39" s="3" t="s">
        <v>127</v>
      </c>
      <c r="Q39" s="3" t="s">
        <v>48</v>
      </c>
      <c r="R39" s="3" t="s">
        <v>5</v>
      </c>
      <c r="S39" s="3" t="s">
        <v>5</v>
      </c>
      <c r="T39" s="3" t="s">
        <v>47</v>
      </c>
      <c r="U39" s="3" t="s">
        <v>125</v>
      </c>
      <c r="V39" s="3" t="s">
        <v>126</v>
      </c>
      <c r="W39" s="3" t="s">
        <v>125</v>
      </c>
      <c r="X39" s="3" t="s">
        <v>124</v>
      </c>
      <c r="Y39" s="3" t="s">
        <v>5</v>
      </c>
      <c r="Z39" s="3" t="s">
        <v>5</v>
      </c>
      <c r="AA39" s="3" t="s">
        <v>5</v>
      </c>
      <c r="AB39" s="3" t="s">
        <v>5</v>
      </c>
      <c r="AC39" s="3" t="s">
        <v>4</v>
      </c>
      <c r="AD39" s="3" t="s">
        <v>29</v>
      </c>
      <c r="AE39" s="3" t="s">
        <v>2</v>
      </c>
      <c r="AF39" s="3" t="s">
        <v>1</v>
      </c>
      <c r="AG39" s="3" t="s">
        <v>0</v>
      </c>
    </row>
    <row r="40" spans="1:33" x14ac:dyDescent="0.3">
      <c r="A40" s="14" t="s">
        <v>26</v>
      </c>
      <c r="B40" s="9">
        <v>46135</v>
      </c>
      <c r="C40" s="15"/>
      <c r="D40" s="3" t="s">
        <v>25</v>
      </c>
      <c r="E40" s="3" t="s">
        <v>123</v>
      </c>
      <c r="F40" s="3" t="s">
        <v>122</v>
      </c>
      <c r="G40" s="3" t="s">
        <v>88</v>
      </c>
      <c r="H40" s="3" t="s">
        <v>21</v>
      </c>
      <c r="I40" s="3" t="s">
        <v>121</v>
      </c>
      <c r="J40" s="3" t="s">
        <v>120</v>
      </c>
      <c r="K40" s="3" t="s">
        <v>5</v>
      </c>
      <c r="L40" s="3" t="s">
        <v>119</v>
      </c>
      <c r="M40" s="3" t="s">
        <v>16</v>
      </c>
      <c r="N40" s="3" t="s">
        <v>84</v>
      </c>
      <c r="O40" s="3" t="s">
        <v>84</v>
      </c>
      <c r="P40" s="3" t="s">
        <v>118</v>
      </c>
      <c r="Q40" s="3" t="s">
        <v>117</v>
      </c>
      <c r="R40" s="3" t="s">
        <v>5</v>
      </c>
      <c r="S40" s="3" t="s">
        <v>5</v>
      </c>
      <c r="T40" s="3" t="s">
        <v>81</v>
      </c>
      <c r="U40" s="3" t="s">
        <v>116</v>
      </c>
      <c r="V40" s="3" t="s">
        <v>33</v>
      </c>
      <c r="W40" s="3" t="s">
        <v>116</v>
      </c>
      <c r="X40" s="3" t="s">
        <v>115</v>
      </c>
      <c r="Y40" s="3" t="s">
        <v>115</v>
      </c>
      <c r="Z40" s="3" t="s">
        <v>30</v>
      </c>
      <c r="AA40" s="3" t="s">
        <v>5</v>
      </c>
      <c r="AB40" s="3" t="s">
        <v>5</v>
      </c>
      <c r="AC40" s="3" t="s">
        <v>4</v>
      </c>
      <c r="AD40" s="3" t="s">
        <v>29</v>
      </c>
      <c r="AE40" s="3" t="s">
        <v>2</v>
      </c>
      <c r="AF40" s="3" t="s">
        <v>28</v>
      </c>
      <c r="AG40" s="3" t="s">
        <v>27</v>
      </c>
    </row>
    <row r="41" spans="1:33" x14ac:dyDescent="0.3">
      <c r="A41" s="14" t="s">
        <v>26</v>
      </c>
      <c r="B41" s="9">
        <v>46135</v>
      </c>
      <c r="C41" s="15"/>
      <c r="D41" s="3" t="s">
        <v>25</v>
      </c>
      <c r="E41" s="3" t="s">
        <v>114</v>
      </c>
      <c r="F41" s="3" t="s">
        <v>113</v>
      </c>
      <c r="G41" s="3" t="s">
        <v>88</v>
      </c>
      <c r="H41" s="3" t="s">
        <v>21</v>
      </c>
      <c r="I41" s="3" t="s">
        <v>112</v>
      </c>
      <c r="J41" s="3" t="s">
        <v>111</v>
      </c>
      <c r="K41" s="3" t="s">
        <v>5</v>
      </c>
      <c r="L41" s="3" t="s">
        <v>110</v>
      </c>
      <c r="M41" s="3" t="s">
        <v>16</v>
      </c>
      <c r="N41" s="3" t="s">
        <v>84</v>
      </c>
      <c r="O41" s="3" t="s">
        <v>84</v>
      </c>
      <c r="P41" s="3" t="s">
        <v>109</v>
      </c>
      <c r="Q41" s="3" t="s">
        <v>108</v>
      </c>
      <c r="R41" s="3" t="s">
        <v>107</v>
      </c>
      <c r="S41" s="3" t="s">
        <v>5</v>
      </c>
      <c r="T41" s="3" t="s">
        <v>106</v>
      </c>
      <c r="U41" s="3" t="s">
        <v>105</v>
      </c>
      <c r="V41" s="3" t="s">
        <v>33</v>
      </c>
      <c r="W41" s="3" t="s">
        <v>104</v>
      </c>
      <c r="X41" s="3" t="s">
        <v>103</v>
      </c>
      <c r="Y41" s="3" t="s">
        <v>102</v>
      </c>
      <c r="Z41" s="3" t="s">
        <v>30</v>
      </c>
      <c r="AA41" s="3" t="s">
        <v>5</v>
      </c>
      <c r="AB41" s="3" t="s">
        <v>5</v>
      </c>
      <c r="AC41" s="3" t="s">
        <v>4</v>
      </c>
      <c r="AD41" s="3" t="s">
        <v>29</v>
      </c>
      <c r="AE41" s="3" t="s">
        <v>2</v>
      </c>
      <c r="AF41" s="3" t="s">
        <v>28</v>
      </c>
      <c r="AG41" s="3" t="s">
        <v>27</v>
      </c>
    </row>
    <row r="42" spans="1:33" x14ac:dyDescent="0.3">
      <c r="A42" s="14" t="s">
        <v>26</v>
      </c>
      <c r="B42" s="9">
        <v>46135</v>
      </c>
      <c r="C42" s="15"/>
      <c r="D42" s="3" t="s">
        <v>25</v>
      </c>
      <c r="E42" s="3" t="s">
        <v>101</v>
      </c>
      <c r="F42" s="3" t="s">
        <v>100</v>
      </c>
      <c r="G42" s="3" t="s">
        <v>88</v>
      </c>
      <c r="H42" s="3" t="s">
        <v>21</v>
      </c>
      <c r="I42" s="3" t="s">
        <v>99</v>
      </c>
      <c r="J42" s="3" t="s">
        <v>98</v>
      </c>
      <c r="K42" s="3" t="s">
        <v>97</v>
      </c>
      <c r="L42" s="3" t="s">
        <v>96</v>
      </c>
      <c r="M42" s="3" t="s">
        <v>16</v>
      </c>
      <c r="N42" s="3" t="s">
        <v>84</v>
      </c>
      <c r="O42" s="3" t="s">
        <v>84</v>
      </c>
      <c r="P42" s="3" t="s">
        <v>95</v>
      </c>
      <c r="Q42" s="3" t="s">
        <v>94</v>
      </c>
      <c r="R42" s="3" t="s">
        <v>5</v>
      </c>
      <c r="S42" s="3" t="s">
        <v>5</v>
      </c>
      <c r="T42" s="3" t="s">
        <v>93</v>
      </c>
      <c r="U42" s="3" t="s">
        <v>92</v>
      </c>
      <c r="V42" s="3" t="s">
        <v>33</v>
      </c>
      <c r="W42" s="3" t="s">
        <v>92</v>
      </c>
      <c r="X42" s="3" t="s">
        <v>91</v>
      </c>
      <c r="Y42" s="3" t="s">
        <v>91</v>
      </c>
      <c r="Z42" s="3" t="s">
        <v>30</v>
      </c>
      <c r="AA42" s="3" t="s">
        <v>5</v>
      </c>
      <c r="AB42" s="3" t="s">
        <v>5</v>
      </c>
      <c r="AC42" s="3" t="s">
        <v>4</v>
      </c>
      <c r="AD42" s="3" t="s">
        <v>29</v>
      </c>
      <c r="AE42" s="3" t="s">
        <v>2</v>
      </c>
      <c r="AF42" s="3" t="s">
        <v>28</v>
      </c>
      <c r="AG42" s="3" t="s">
        <v>27</v>
      </c>
    </row>
    <row r="43" spans="1:33" x14ac:dyDescent="0.3">
      <c r="A43" s="14" t="s">
        <v>26</v>
      </c>
      <c r="B43" s="9">
        <v>46135</v>
      </c>
      <c r="C43" s="13"/>
      <c r="D43" s="2" t="s">
        <v>25</v>
      </c>
      <c r="E43" s="2" t="s">
        <v>90</v>
      </c>
      <c r="F43" s="2" t="s">
        <v>89</v>
      </c>
      <c r="G43" s="3" t="s">
        <v>88</v>
      </c>
      <c r="H43" s="2" t="s">
        <v>21</v>
      </c>
      <c r="I43" s="2" t="s">
        <v>87</v>
      </c>
      <c r="J43" s="2" t="s">
        <v>86</v>
      </c>
      <c r="K43" s="2" t="s">
        <v>5</v>
      </c>
      <c r="L43" s="2" t="s">
        <v>85</v>
      </c>
      <c r="M43" s="2" t="s">
        <v>16</v>
      </c>
      <c r="N43" s="2" t="s">
        <v>84</v>
      </c>
      <c r="O43" s="2" t="s">
        <v>84</v>
      </c>
      <c r="P43" s="2" t="s">
        <v>83</v>
      </c>
      <c r="Q43" s="2" t="s">
        <v>82</v>
      </c>
      <c r="R43" s="2" t="s">
        <v>5</v>
      </c>
      <c r="S43" s="2" t="s">
        <v>5</v>
      </c>
      <c r="T43" s="2" t="s">
        <v>81</v>
      </c>
      <c r="U43" s="2" t="s">
        <v>80</v>
      </c>
      <c r="V43" s="2" t="s">
        <v>80</v>
      </c>
      <c r="W43" s="2" t="s">
        <v>80</v>
      </c>
      <c r="X43" s="2" t="s">
        <v>79</v>
      </c>
      <c r="Y43" s="2" t="s">
        <v>79</v>
      </c>
      <c r="Z43" s="2" t="s">
        <v>78</v>
      </c>
      <c r="AA43" s="2" t="s">
        <v>5</v>
      </c>
      <c r="AB43" s="2" t="s">
        <v>5</v>
      </c>
      <c r="AC43" s="2" t="s">
        <v>4</v>
      </c>
      <c r="AD43" s="2" t="s">
        <v>29</v>
      </c>
      <c r="AE43" s="2" t="s">
        <v>2</v>
      </c>
      <c r="AF43" s="2" t="s">
        <v>28</v>
      </c>
      <c r="AG43" s="2" t="s">
        <v>27</v>
      </c>
    </row>
    <row r="44" spans="1:33" x14ac:dyDescent="0.3">
      <c r="A44" s="14" t="s">
        <v>26</v>
      </c>
      <c r="B44" s="9">
        <v>46135</v>
      </c>
      <c r="C44" s="15"/>
      <c r="D44" s="3" t="s">
        <v>54</v>
      </c>
      <c r="E44" s="3" t="s">
        <v>77</v>
      </c>
      <c r="F44" s="3" t="s">
        <v>76</v>
      </c>
      <c r="G44" s="3" t="s">
        <v>22</v>
      </c>
      <c r="H44" s="3" t="s">
        <v>21</v>
      </c>
      <c r="I44" s="3" t="s">
        <v>75</v>
      </c>
      <c r="J44" s="3" t="s">
        <v>74</v>
      </c>
      <c r="K44" s="3" t="s">
        <v>73</v>
      </c>
      <c r="L44" s="3" t="s">
        <v>18</v>
      </c>
      <c r="M44" s="3" t="s">
        <v>47</v>
      </c>
      <c r="N44" s="3" t="s">
        <v>72</v>
      </c>
      <c r="O44" s="3" t="s">
        <v>71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70</v>
      </c>
      <c r="U44" s="3" t="s">
        <v>68</v>
      </c>
      <c r="V44" s="3" t="s">
        <v>69</v>
      </c>
      <c r="W44" s="3" t="s">
        <v>68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4</v>
      </c>
      <c r="AD44" s="3" t="s">
        <v>29</v>
      </c>
      <c r="AE44" s="3" t="s">
        <v>2</v>
      </c>
      <c r="AF44" s="3" t="s">
        <v>28</v>
      </c>
      <c r="AG44" s="3" t="s">
        <v>67</v>
      </c>
    </row>
    <row r="45" spans="1:33" x14ac:dyDescent="0.3">
      <c r="A45" s="14" t="s">
        <v>26</v>
      </c>
      <c r="B45" s="9">
        <v>46135</v>
      </c>
      <c r="C45" s="15"/>
      <c r="D45" s="3" t="s">
        <v>25</v>
      </c>
      <c r="E45" s="3" t="s">
        <v>66</v>
      </c>
      <c r="F45" s="3" t="s">
        <v>65</v>
      </c>
      <c r="G45" s="3" t="s">
        <v>22</v>
      </c>
      <c r="H45" s="3" t="s">
        <v>21</v>
      </c>
      <c r="I45" s="3" t="s">
        <v>64</v>
      </c>
      <c r="J45" s="3" t="s">
        <v>63</v>
      </c>
      <c r="K45" s="3" t="s">
        <v>5</v>
      </c>
      <c r="L45" s="3" t="s">
        <v>62</v>
      </c>
      <c r="M45" s="3" t="s">
        <v>16</v>
      </c>
      <c r="N45" s="3" t="s">
        <v>15</v>
      </c>
      <c r="O45" s="3" t="s">
        <v>14</v>
      </c>
      <c r="P45" s="3" t="s">
        <v>61</v>
      </c>
      <c r="Q45" s="3" t="s">
        <v>60</v>
      </c>
      <c r="R45" s="3" t="s">
        <v>5</v>
      </c>
      <c r="S45" s="3" t="s">
        <v>5</v>
      </c>
      <c r="T45" s="3" t="s">
        <v>59</v>
      </c>
      <c r="U45" s="3" t="s">
        <v>57</v>
      </c>
      <c r="V45" s="3" t="s">
        <v>58</v>
      </c>
      <c r="W45" s="3" t="s">
        <v>57</v>
      </c>
      <c r="X45" s="3" t="s">
        <v>56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4</v>
      </c>
      <c r="AD45" s="3" t="s">
        <v>55</v>
      </c>
      <c r="AE45" s="3" t="s">
        <v>2</v>
      </c>
      <c r="AF45" s="3" t="s">
        <v>1</v>
      </c>
      <c r="AG45" s="3" t="s">
        <v>0</v>
      </c>
    </row>
    <row r="46" spans="1:33" x14ac:dyDescent="0.3">
      <c r="A46" s="14" t="s">
        <v>26</v>
      </c>
      <c r="B46" s="9">
        <v>46135</v>
      </c>
      <c r="C46" s="15"/>
      <c r="D46" s="3" t="s">
        <v>54</v>
      </c>
      <c r="E46" s="3" t="s">
        <v>53</v>
      </c>
      <c r="F46" s="3" t="s">
        <v>52</v>
      </c>
      <c r="G46" s="3" t="s">
        <v>22</v>
      </c>
      <c r="H46" s="3" t="s">
        <v>21</v>
      </c>
      <c r="I46" s="3" t="s">
        <v>51</v>
      </c>
      <c r="J46" s="3" t="s">
        <v>50</v>
      </c>
      <c r="K46" s="3" t="s">
        <v>17</v>
      </c>
      <c r="L46" s="3" t="s">
        <v>17</v>
      </c>
      <c r="M46" s="3" t="s">
        <v>16</v>
      </c>
      <c r="N46" s="3" t="s">
        <v>15</v>
      </c>
      <c r="O46" s="3" t="s">
        <v>49</v>
      </c>
      <c r="P46" s="3" t="s">
        <v>18</v>
      </c>
      <c r="Q46" s="3" t="s">
        <v>48</v>
      </c>
      <c r="R46" s="3" t="s">
        <v>5</v>
      </c>
      <c r="S46" s="3" t="s">
        <v>5</v>
      </c>
      <c r="T46" s="3" t="s">
        <v>47</v>
      </c>
      <c r="U46" s="3" t="s">
        <v>45</v>
      </c>
      <c r="V46" s="3" t="s">
        <v>46</v>
      </c>
      <c r="W46" s="3" t="s">
        <v>45</v>
      </c>
      <c r="X46" s="3" t="s">
        <v>44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4</v>
      </c>
      <c r="AD46" s="3" t="s">
        <v>29</v>
      </c>
      <c r="AE46" s="3" t="s">
        <v>2</v>
      </c>
      <c r="AF46" s="3" t="s">
        <v>1</v>
      </c>
      <c r="AG46" s="3" t="s">
        <v>0</v>
      </c>
    </row>
    <row r="47" spans="1:33" x14ac:dyDescent="0.3">
      <c r="A47" s="14" t="s">
        <v>26</v>
      </c>
      <c r="B47" s="9">
        <v>46135</v>
      </c>
      <c r="C47" s="15"/>
      <c r="D47" s="3" t="s">
        <v>25</v>
      </c>
      <c r="E47" s="3" t="s">
        <v>43</v>
      </c>
      <c r="F47" s="3" t="s">
        <v>42</v>
      </c>
      <c r="G47" s="3" t="s">
        <v>22</v>
      </c>
      <c r="H47" s="3" t="s">
        <v>21</v>
      </c>
      <c r="I47" s="3" t="s">
        <v>41</v>
      </c>
      <c r="J47" s="3" t="s">
        <v>40</v>
      </c>
      <c r="K47" s="3" t="s">
        <v>39</v>
      </c>
      <c r="L47" s="3" t="s">
        <v>38</v>
      </c>
      <c r="M47" s="3" t="s">
        <v>16</v>
      </c>
      <c r="N47" s="3" t="s">
        <v>15</v>
      </c>
      <c r="O47" s="3" t="s">
        <v>37</v>
      </c>
      <c r="P47" s="3" t="s">
        <v>36</v>
      </c>
      <c r="Q47" s="3" t="s">
        <v>35</v>
      </c>
      <c r="R47" s="3" t="s">
        <v>5</v>
      </c>
      <c r="S47" s="3" t="s">
        <v>5</v>
      </c>
      <c r="T47" s="3" t="s">
        <v>34</v>
      </c>
      <c r="U47" s="3" t="s">
        <v>33</v>
      </c>
      <c r="V47" s="3" t="s">
        <v>33</v>
      </c>
      <c r="W47" s="3" t="s">
        <v>32</v>
      </c>
      <c r="X47" s="3" t="s">
        <v>31</v>
      </c>
      <c r="Y47" s="3" t="s">
        <v>30</v>
      </c>
      <c r="Z47" s="3" t="s">
        <v>30</v>
      </c>
      <c r="AA47" s="3" t="s">
        <v>5</v>
      </c>
      <c r="AB47" s="3" t="s">
        <v>5</v>
      </c>
      <c r="AC47" s="3" t="s">
        <v>4</v>
      </c>
      <c r="AD47" s="3" t="s">
        <v>29</v>
      </c>
      <c r="AE47" s="3" t="s">
        <v>2</v>
      </c>
      <c r="AF47" s="3" t="s">
        <v>28</v>
      </c>
      <c r="AG47" s="3" t="s">
        <v>27</v>
      </c>
    </row>
    <row r="48" spans="1:33" x14ac:dyDescent="0.3">
      <c r="A48" s="14" t="s">
        <v>26</v>
      </c>
      <c r="B48" s="9">
        <v>46135</v>
      </c>
      <c r="C48" s="13"/>
      <c r="D48" s="2" t="s">
        <v>25</v>
      </c>
      <c r="E48" s="2" t="s">
        <v>24</v>
      </c>
      <c r="F48" s="2" t="s">
        <v>23</v>
      </c>
      <c r="G48" s="3" t="s">
        <v>22</v>
      </c>
      <c r="H48" s="2" t="s">
        <v>21</v>
      </c>
      <c r="I48" s="2" t="s">
        <v>20</v>
      </c>
      <c r="J48" s="2" t="s">
        <v>19</v>
      </c>
      <c r="K48" s="2" t="s">
        <v>18</v>
      </c>
      <c r="L48" s="2" t="s">
        <v>17</v>
      </c>
      <c r="M48" s="2" t="s">
        <v>16</v>
      </c>
      <c r="N48" s="2" t="s">
        <v>15</v>
      </c>
      <c r="O48" s="2" t="s">
        <v>14</v>
      </c>
      <c r="P48" s="2" t="s">
        <v>13</v>
      </c>
      <c r="Q48" s="2" t="s">
        <v>12</v>
      </c>
      <c r="R48" s="2" t="s">
        <v>11</v>
      </c>
      <c r="S48" s="2" t="s">
        <v>10</v>
      </c>
      <c r="T48" s="2" t="s">
        <v>9</v>
      </c>
      <c r="U48" s="2" t="s">
        <v>7</v>
      </c>
      <c r="V48" s="2" t="s">
        <v>8</v>
      </c>
      <c r="W48" s="2" t="s">
        <v>7</v>
      </c>
      <c r="X48" s="2" t="s">
        <v>6</v>
      </c>
      <c r="Y48" s="2" t="s">
        <v>5</v>
      </c>
      <c r="Z48" s="2" t="s">
        <v>5</v>
      </c>
      <c r="AA48" s="2" t="s">
        <v>5</v>
      </c>
      <c r="AB48" s="2" t="s">
        <v>5</v>
      </c>
      <c r="AC48" s="2" t="s">
        <v>4</v>
      </c>
      <c r="AD48" s="2" t="s">
        <v>3</v>
      </c>
      <c r="AE48" s="2" t="s">
        <v>2</v>
      </c>
      <c r="AF48" s="2" t="s">
        <v>1</v>
      </c>
      <c r="AG48" s="2" t="s">
        <v>0</v>
      </c>
    </row>
    <row r="49" spans="1:33" x14ac:dyDescent="0.3">
      <c r="A49" s="14" t="s">
        <v>26</v>
      </c>
      <c r="B49" s="9">
        <v>46135</v>
      </c>
      <c r="C49" s="15"/>
      <c r="D49" s="3" t="s">
        <v>54</v>
      </c>
      <c r="E49" s="3" t="s">
        <v>454</v>
      </c>
      <c r="F49" s="3" t="s">
        <v>414</v>
      </c>
      <c r="G49" s="3" t="s">
        <v>238</v>
      </c>
      <c r="H49" s="3" t="s">
        <v>21</v>
      </c>
      <c r="I49" s="3" t="s">
        <v>413</v>
      </c>
      <c r="J49" s="3" t="s">
        <v>412</v>
      </c>
      <c r="K49" s="3" t="s">
        <v>411</v>
      </c>
      <c r="L49" s="3" t="s">
        <v>5</v>
      </c>
      <c r="M49" s="3" t="s">
        <v>47</v>
      </c>
      <c r="N49" s="3" t="s">
        <v>411</v>
      </c>
      <c r="O49" s="3" t="s">
        <v>410</v>
      </c>
      <c r="P49" s="3" t="s">
        <v>5</v>
      </c>
      <c r="Q49" s="3" t="s">
        <v>5</v>
      </c>
      <c r="R49" s="3" t="s">
        <v>5</v>
      </c>
      <c r="S49" s="3" t="s">
        <v>5</v>
      </c>
      <c r="T49" s="3" t="s">
        <v>203</v>
      </c>
      <c r="U49" s="3" t="s">
        <v>409</v>
      </c>
      <c r="V49" s="3" t="s">
        <v>33</v>
      </c>
      <c r="W49" s="3" t="s">
        <v>408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4</v>
      </c>
      <c r="AD49" s="3" t="s">
        <v>29</v>
      </c>
      <c r="AE49" s="3" t="s">
        <v>2</v>
      </c>
      <c r="AF49" s="3" t="s">
        <v>28</v>
      </c>
      <c r="AG49" s="3" t="s">
        <v>27</v>
      </c>
    </row>
    <row r="50" spans="1:33" x14ac:dyDescent="0.3">
      <c r="A50" s="14"/>
      <c r="B50" s="9"/>
      <c r="C50" s="1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x14ac:dyDescent="0.3">
      <c r="A51" s="14"/>
      <c r="B51" s="9"/>
      <c r="C51" s="1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x14ac:dyDescent="0.3">
      <c r="A52" s="14"/>
      <c r="B52" s="9"/>
      <c r="C52" s="1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x14ac:dyDescent="0.3">
      <c r="A53" s="14"/>
      <c r="B53" s="9"/>
      <c r="C53" s="1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x14ac:dyDescent="0.3">
      <c r="A54" s="14"/>
      <c r="B54" s="9"/>
      <c r="C54" s="1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x14ac:dyDescent="0.3">
      <c r="A55" s="14"/>
      <c r="B55" s="9"/>
      <c r="C55" s="1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x14ac:dyDescent="0.3">
      <c r="A56" s="14"/>
      <c r="B56" s="9"/>
      <c r="C56" s="1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x14ac:dyDescent="0.3">
      <c r="A57" s="14"/>
      <c r="B57" s="9"/>
      <c r="C57" s="1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x14ac:dyDescent="0.3">
      <c r="A58" s="14"/>
      <c r="B58" s="9"/>
      <c r="C58" s="1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x14ac:dyDescent="0.3">
      <c r="A59" s="14"/>
      <c r="B59" s="9"/>
      <c r="C59" s="1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x14ac:dyDescent="0.3">
      <c r="A60" s="14"/>
      <c r="B60" s="9"/>
      <c r="C60" s="13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x14ac:dyDescent="0.3">
      <c r="A61" s="6"/>
      <c r="B61" s="9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x14ac:dyDescent="0.3">
      <c r="A62" s="6"/>
      <c r="B62" s="9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x14ac:dyDescent="0.3">
      <c r="A63" s="6"/>
      <c r="B63" s="9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x14ac:dyDescent="0.3">
      <c r="A64" s="6"/>
      <c r="B64" s="9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x14ac:dyDescent="0.3">
      <c r="A65" s="6"/>
      <c r="B65" s="9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x14ac:dyDescent="0.3">
      <c r="A66" s="6"/>
      <c r="B66" s="9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x14ac:dyDescent="0.3">
      <c r="A67" s="6"/>
      <c r="B67" s="9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x14ac:dyDescent="0.3">
      <c r="A68" s="6"/>
      <c r="B68" s="9"/>
      <c r="C68" s="8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x14ac:dyDescent="0.3">
      <c r="A69" s="6"/>
      <c r="B69" s="9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x14ac:dyDescent="0.3">
      <c r="A70" s="6"/>
      <c r="B70" s="9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x14ac:dyDescent="0.3">
      <c r="A71" s="6"/>
      <c r="B71" s="9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x14ac:dyDescent="0.3">
      <c r="A72" s="6"/>
      <c r="B72" s="9"/>
      <c r="C72" s="8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x14ac:dyDescent="0.3">
      <c r="A73" s="6"/>
      <c r="B73" s="9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x14ac:dyDescent="0.3">
      <c r="A74" s="6"/>
      <c r="B74" s="9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x14ac:dyDescent="0.3">
      <c r="A75" s="6"/>
      <c r="B75" s="9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x14ac:dyDescent="0.3">
      <c r="A76" s="6"/>
      <c r="B76" s="9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x14ac:dyDescent="0.3">
      <c r="A77" s="6"/>
      <c r="B77" s="9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x14ac:dyDescent="0.3">
      <c r="A78" s="6"/>
      <c r="B78" s="9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x14ac:dyDescent="0.3">
      <c r="A79" s="6"/>
      <c r="B79" s="9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x14ac:dyDescent="0.3">
      <c r="A80" s="6"/>
      <c r="B80" s="9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x14ac:dyDescent="0.3">
      <c r="A81" s="6"/>
      <c r="B81" s="9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x14ac:dyDescent="0.3">
      <c r="A82" s="6"/>
      <c r="B82" s="9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x14ac:dyDescent="0.3">
      <c r="A83" s="6"/>
      <c r="B83" s="9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x14ac:dyDescent="0.3">
      <c r="A84" s="6"/>
      <c r="B84" s="9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x14ac:dyDescent="0.3">
      <c r="A85" s="6"/>
      <c r="B85" s="9"/>
      <c r="C85" s="8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x14ac:dyDescent="0.3">
      <c r="A86" s="6"/>
      <c r="B86" s="12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x14ac:dyDescent="0.3">
      <c r="A87" s="6"/>
      <c r="B87" s="12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x14ac:dyDescent="0.3">
      <c r="A88" s="6"/>
      <c r="B88" s="12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x14ac:dyDescent="0.3">
      <c r="A89" s="6"/>
      <c r="B89" s="12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x14ac:dyDescent="0.3">
      <c r="A90" s="6"/>
      <c r="B90" s="12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x14ac:dyDescent="0.3">
      <c r="A91" s="6"/>
      <c r="B91" s="12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x14ac:dyDescent="0.3">
      <c r="A92" s="6"/>
      <c r="B92" s="12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x14ac:dyDescent="0.3">
      <c r="A93" s="6"/>
      <c r="B93" s="12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x14ac:dyDescent="0.3">
      <c r="A94" s="6"/>
      <c r="B94" s="12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x14ac:dyDescent="0.3">
      <c r="A95" s="6"/>
      <c r="B95" s="12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x14ac:dyDescent="0.3">
      <c r="A96" s="6"/>
      <c r="B96" s="12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x14ac:dyDescent="0.3">
      <c r="A97" s="6"/>
      <c r="B97" s="12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x14ac:dyDescent="0.3">
      <c r="A98" s="6"/>
      <c r="B98" s="12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x14ac:dyDescent="0.3">
      <c r="A99" s="6"/>
      <c r="B99" s="12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x14ac:dyDescent="0.3">
      <c r="A100" s="6"/>
      <c r="B100" s="12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x14ac:dyDescent="0.3">
      <c r="A101" s="6"/>
      <c r="B101" s="12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x14ac:dyDescent="0.3">
      <c r="A102" s="6"/>
      <c r="B102" s="12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3">
      <c r="A103" s="6"/>
      <c r="B103" s="12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x14ac:dyDescent="0.3">
      <c r="A104" s="6"/>
      <c r="B104" s="12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x14ac:dyDescent="0.3">
      <c r="A105" s="6"/>
      <c r="B105" s="12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3">
      <c r="A106" s="6"/>
      <c r="B106" s="12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x14ac:dyDescent="0.3">
      <c r="A107" s="6"/>
      <c r="B107" s="12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x14ac:dyDescent="0.3">
      <c r="A108" s="6"/>
      <c r="B108" s="12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x14ac:dyDescent="0.3">
      <c r="A109" s="6"/>
      <c r="B109" s="12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x14ac:dyDescent="0.3">
      <c r="A110" s="6"/>
      <c r="B110" s="9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x14ac:dyDescent="0.3">
      <c r="A111" s="6"/>
      <c r="B111" s="9"/>
      <c r="C111" s="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x14ac:dyDescent="0.3">
      <c r="A112" s="6"/>
      <c r="B112" s="9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x14ac:dyDescent="0.3">
      <c r="A113" s="6"/>
      <c r="B113" s="9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x14ac:dyDescent="0.3">
      <c r="A114" s="6"/>
      <c r="B114" s="9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x14ac:dyDescent="0.3">
      <c r="A115" s="6"/>
      <c r="B115" s="9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x14ac:dyDescent="0.3">
      <c r="A116" s="6"/>
      <c r="B116" s="9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x14ac:dyDescent="0.3">
      <c r="A117" s="6"/>
      <c r="B117" s="9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x14ac:dyDescent="0.3">
      <c r="A118" s="6"/>
      <c r="B118" s="9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x14ac:dyDescent="0.3">
      <c r="A119" s="6"/>
      <c r="B119" s="9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x14ac:dyDescent="0.3">
      <c r="A120" s="6"/>
      <c r="B120" s="9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x14ac:dyDescent="0.3">
      <c r="A121" s="6"/>
      <c r="B121" s="9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x14ac:dyDescent="0.3">
      <c r="A122" s="6"/>
      <c r="B122" s="9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x14ac:dyDescent="0.3">
      <c r="A123" s="6"/>
      <c r="B123" s="9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x14ac:dyDescent="0.3">
      <c r="A124" s="6"/>
      <c r="B124" s="9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x14ac:dyDescent="0.3">
      <c r="A125" s="6"/>
      <c r="B125" s="9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x14ac:dyDescent="0.3">
      <c r="A126" s="6"/>
      <c r="B126" s="9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x14ac:dyDescent="0.3">
      <c r="A127" s="6"/>
      <c r="B127" s="9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x14ac:dyDescent="0.3">
      <c r="A128" s="6"/>
      <c r="B128" s="9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x14ac:dyDescent="0.3">
      <c r="A129" s="6"/>
      <c r="B129" s="9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x14ac:dyDescent="0.3">
      <c r="A130" s="6"/>
      <c r="B130" s="9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3">
      <c r="A131" s="6"/>
      <c r="B131" s="9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x14ac:dyDescent="0.3">
      <c r="A132" s="6"/>
      <c r="B132" s="9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x14ac:dyDescent="0.3">
      <c r="A133" s="6"/>
      <c r="B133" s="9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x14ac:dyDescent="0.3">
      <c r="A134" s="6"/>
      <c r="B134" s="9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x14ac:dyDescent="0.3">
      <c r="A135" s="6"/>
      <c r="B135" s="9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x14ac:dyDescent="0.3">
      <c r="A136" s="6"/>
      <c r="B136" s="9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x14ac:dyDescent="0.3">
      <c r="A137" s="6"/>
      <c r="B137" s="9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x14ac:dyDescent="0.3">
      <c r="A138" s="6"/>
      <c r="B138" s="9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x14ac:dyDescent="0.3">
      <c r="A139" s="6"/>
      <c r="B139" s="9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x14ac:dyDescent="0.3">
      <c r="A140" s="6"/>
      <c r="B140" s="9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x14ac:dyDescent="0.3">
      <c r="A141" s="6"/>
      <c r="B141" s="9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x14ac:dyDescent="0.3">
      <c r="A142" s="6"/>
      <c r="B142" s="9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x14ac:dyDescent="0.3">
      <c r="A143" s="6"/>
      <c r="B143" s="9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x14ac:dyDescent="0.3">
      <c r="A144" s="6"/>
      <c r="B144" s="9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x14ac:dyDescent="0.3">
      <c r="A145" s="6"/>
      <c r="B145" s="9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x14ac:dyDescent="0.3">
      <c r="A146" s="6"/>
      <c r="B146" s="9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x14ac:dyDescent="0.3">
      <c r="A147" s="6"/>
      <c r="B147" s="9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x14ac:dyDescent="0.3">
      <c r="A148" s="6"/>
      <c r="B148" s="9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x14ac:dyDescent="0.3">
      <c r="A149" s="6"/>
      <c r="B149" s="9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x14ac:dyDescent="0.3">
      <c r="A150" s="6"/>
      <c r="B150" s="9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x14ac:dyDescent="0.3">
      <c r="A151" s="6"/>
      <c r="B151" s="9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x14ac:dyDescent="0.3">
      <c r="A152" s="6"/>
      <c r="B152" s="9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x14ac:dyDescent="0.3">
      <c r="A153" s="6"/>
      <c r="B153" s="9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3">
      <c r="A154" s="6"/>
      <c r="B154" s="9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x14ac:dyDescent="0.3">
      <c r="A155" s="6"/>
      <c r="B155" s="9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x14ac:dyDescent="0.3">
      <c r="A156" s="6"/>
      <c r="B156" s="9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x14ac:dyDescent="0.3">
      <c r="A157" s="6"/>
      <c r="B157" s="9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3">
      <c r="A158" s="6"/>
      <c r="B158" s="9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x14ac:dyDescent="0.3">
      <c r="A159" s="6"/>
      <c r="B159" s="9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x14ac:dyDescent="0.3">
      <c r="A160" s="6"/>
      <c r="B160" s="9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3">
      <c r="A161" s="6"/>
      <c r="B161" s="9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3">
      <c r="A162" s="6"/>
      <c r="B162" s="9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x14ac:dyDescent="0.3">
      <c r="A163" s="6"/>
      <c r="B163" s="9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x14ac:dyDescent="0.3">
      <c r="A164" s="6"/>
      <c r="B164" s="9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x14ac:dyDescent="0.3">
      <c r="A165" s="6"/>
      <c r="B165" s="9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x14ac:dyDescent="0.3">
      <c r="A166" s="6"/>
      <c r="B166" s="9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x14ac:dyDescent="0.3">
      <c r="A167" s="6"/>
      <c r="B167" s="9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3">
      <c r="A168" s="6"/>
      <c r="B168" s="9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x14ac:dyDescent="0.3">
      <c r="A169" s="6"/>
      <c r="B169" s="9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x14ac:dyDescent="0.3">
      <c r="A170" s="6"/>
      <c r="B170" s="9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x14ac:dyDescent="0.3">
      <c r="A171" s="6"/>
      <c r="B171" s="9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x14ac:dyDescent="0.3">
      <c r="A172" s="6"/>
      <c r="B172" s="9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x14ac:dyDescent="0.3">
      <c r="A173" s="6"/>
      <c r="B173" s="9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x14ac:dyDescent="0.3">
      <c r="A174" s="6"/>
      <c r="B174" s="9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x14ac:dyDescent="0.3">
      <c r="A175" s="6"/>
      <c r="B175" s="9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x14ac:dyDescent="0.3">
      <c r="A176" s="6"/>
      <c r="B176" s="9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x14ac:dyDescent="0.3">
      <c r="A177" s="6"/>
      <c r="B177" s="9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x14ac:dyDescent="0.3">
      <c r="A178" s="6"/>
      <c r="B178" s="9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x14ac:dyDescent="0.3">
      <c r="A179" s="6"/>
      <c r="B179" s="9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x14ac:dyDescent="0.3">
      <c r="A180" s="6"/>
      <c r="B180" s="9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x14ac:dyDescent="0.3">
      <c r="A181" s="6"/>
      <c r="B181" s="9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x14ac:dyDescent="0.3">
      <c r="A182" s="6"/>
      <c r="B182" s="9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x14ac:dyDescent="0.3">
      <c r="A183" s="6"/>
      <c r="B183" s="9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x14ac:dyDescent="0.3">
      <c r="A184" s="6"/>
      <c r="B184" s="9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x14ac:dyDescent="0.3">
      <c r="A185" s="6"/>
      <c r="B185" s="9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x14ac:dyDescent="0.3">
      <c r="A186" s="6"/>
      <c r="B186" s="9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x14ac:dyDescent="0.3">
      <c r="A187" s="6"/>
      <c r="B187" s="9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x14ac:dyDescent="0.3">
      <c r="A188" s="6"/>
      <c r="B188" s="9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x14ac:dyDescent="0.3">
      <c r="A189" s="6"/>
      <c r="B189" s="9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x14ac:dyDescent="0.3">
      <c r="A190" s="6"/>
      <c r="B190" s="9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x14ac:dyDescent="0.3">
      <c r="A191" s="6"/>
      <c r="B191" s="9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x14ac:dyDescent="0.3">
      <c r="A192" s="6"/>
      <c r="B192" s="9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x14ac:dyDescent="0.3">
      <c r="A193" s="6"/>
      <c r="B193" s="9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x14ac:dyDescent="0.3">
      <c r="A194" s="6"/>
      <c r="B194" s="9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x14ac:dyDescent="0.3">
      <c r="A195" s="6"/>
      <c r="B195" s="9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x14ac:dyDescent="0.3">
      <c r="A196" s="6"/>
      <c r="B196" s="9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x14ac:dyDescent="0.3">
      <c r="A197" s="6"/>
      <c r="B197" s="9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x14ac:dyDescent="0.3">
      <c r="A198" s="6"/>
      <c r="B198" s="9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x14ac:dyDescent="0.3">
      <c r="A199" s="6"/>
      <c r="B199" s="9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x14ac:dyDescent="0.3">
      <c r="A200" s="6"/>
      <c r="B200" s="9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x14ac:dyDescent="0.3">
      <c r="A201" s="6"/>
      <c r="B201" s="9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x14ac:dyDescent="0.3">
      <c r="A202" s="6"/>
      <c r="B202" s="9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x14ac:dyDescent="0.3">
      <c r="A203" s="6"/>
      <c r="B203" s="9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x14ac:dyDescent="0.3">
      <c r="A204" s="6"/>
      <c r="B204" s="9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x14ac:dyDescent="0.3">
      <c r="A205" s="6"/>
      <c r="B205" s="9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x14ac:dyDescent="0.3">
      <c r="A206" s="6"/>
      <c r="B206" s="9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x14ac:dyDescent="0.3">
      <c r="A207" s="6"/>
      <c r="B207" s="9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x14ac:dyDescent="0.3">
      <c r="A208" s="6"/>
      <c r="B208" s="9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x14ac:dyDescent="0.3">
      <c r="A209" s="6"/>
      <c r="B209" s="9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x14ac:dyDescent="0.3">
      <c r="A210" s="6"/>
      <c r="B210" s="9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x14ac:dyDescent="0.3">
      <c r="A211" s="6"/>
      <c r="B211" s="9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x14ac:dyDescent="0.3">
      <c r="A212" s="6"/>
      <c r="B212" s="9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x14ac:dyDescent="0.3">
      <c r="A213" s="6"/>
      <c r="B213" s="9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x14ac:dyDescent="0.3">
      <c r="A214" s="6"/>
      <c r="B214" s="9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x14ac:dyDescent="0.3">
      <c r="A215" s="6"/>
      <c r="B215" s="9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x14ac:dyDescent="0.3">
      <c r="A216" s="6"/>
      <c r="B216" s="9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x14ac:dyDescent="0.3">
      <c r="A217" s="6"/>
      <c r="B217" s="9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x14ac:dyDescent="0.3">
      <c r="A218" s="6"/>
      <c r="B218" s="9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x14ac:dyDescent="0.3">
      <c r="A219" s="6"/>
      <c r="B219" s="9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x14ac:dyDescent="0.3">
      <c r="A220" s="6"/>
      <c r="B220" s="9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x14ac:dyDescent="0.3">
      <c r="A221" s="6"/>
      <c r="B221" s="9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x14ac:dyDescent="0.3">
      <c r="A222" s="6"/>
      <c r="B222" s="9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x14ac:dyDescent="0.3">
      <c r="A223" s="6"/>
      <c r="B223" s="9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x14ac:dyDescent="0.3">
      <c r="A224" s="6"/>
      <c r="B224" s="9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x14ac:dyDescent="0.3">
      <c r="A225" s="6"/>
      <c r="B225" s="9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x14ac:dyDescent="0.3">
      <c r="A226" s="6"/>
      <c r="B226" s="9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x14ac:dyDescent="0.3">
      <c r="A227" s="6"/>
      <c r="B227" s="9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x14ac:dyDescent="0.3">
      <c r="A228" s="6"/>
      <c r="B228" s="9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x14ac:dyDescent="0.3">
      <c r="A229" s="6"/>
      <c r="B229" s="9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x14ac:dyDescent="0.3">
      <c r="A230" s="6"/>
      <c r="B230" s="9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x14ac:dyDescent="0.3">
      <c r="A231" s="6"/>
      <c r="B231" s="9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x14ac:dyDescent="0.3">
      <c r="A232" s="6"/>
      <c r="B232" s="9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x14ac:dyDescent="0.3">
      <c r="A233" s="6"/>
      <c r="B233" s="9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x14ac:dyDescent="0.3">
      <c r="A234" s="6"/>
      <c r="B234" s="9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x14ac:dyDescent="0.3">
      <c r="A235" s="6"/>
      <c r="B235" s="9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x14ac:dyDescent="0.3">
      <c r="A236" s="6"/>
      <c r="B236" s="9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x14ac:dyDescent="0.3">
      <c r="A237" s="6"/>
      <c r="B237" s="9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x14ac:dyDescent="0.3">
      <c r="A238" s="6"/>
      <c r="B238" s="9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x14ac:dyDescent="0.3">
      <c r="A239" s="6"/>
      <c r="B239" s="9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x14ac:dyDescent="0.3">
      <c r="A240" s="6"/>
      <c r="B240" s="9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x14ac:dyDescent="0.3">
      <c r="A241" s="6"/>
      <c r="B241" s="9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x14ac:dyDescent="0.3">
      <c r="A242" s="6"/>
      <c r="B242" s="9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x14ac:dyDescent="0.3">
      <c r="A243" s="6"/>
      <c r="B243" s="9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x14ac:dyDescent="0.3">
      <c r="A244" s="6"/>
      <c r="B244" s="9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x14ac:dyDescent="0.3">
      <c r="A245" s="6"/>
      <c r="B245" s="9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x14ac:dyDescent="0.3">
      <c r="A246" s="6"/>
      <c r="B246" s="9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x14ac:dyDescent="0.3">
      <c r="A247" s="6"/>
      <c r="B247" s="9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x14ac:dyDescent="0.3">
      <c r="A248" s="6"/>
      <c r="B248" s="9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x14ac:dyDescent="0.3">
      <c r="A249" s="6"/>
      <c r="B249" s="9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x14ac:dyDescent="0.3">
      <c r="A250" s="6"/>
      <c r="B250" s="9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x14ac:dyDescent="0.3">
      <c r="A251" s="6"/>
      <c r="B251" s="9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x14ac:dyDescent="0.3">
      <c r="A252" s="6"/>
      <c r="B252" s="9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x14ac:dyDescent="0.3">
      <c r="A253" s="6"/>
      <c r="B253" s="9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x14ac:dyDescent="0.3">
      <c r="A254" s="6"/>
      <c r="B254" s="9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x14ac:dyDescent="0.3">
      <c r="A255" s="6"/>
      <c r="B255" s="9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x14ac:dyDescent="0.3">
      <c r="A256" s="6"/>
      <c r="B256" s="9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x14ac:dyDescent="0.3">
      <c r="A257" s="6"/>
      <c r="B257" s="9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x14ac:dyDescent="0.3">
      <c r="A258" s="6"/>
      <c r="B258" s="9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x14ac:dyDescent="0.3">
      <c r="A259" s="6"/>
      <c r="B259" s="9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x14ac:dyDescent="0.3">
      <c r="A260" s="6"/>
      <c r="B260" s="9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x14ac:dyDescent="0.3">
      <c r="A261" s="6"/>
      <c r="B261" s="9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x14ac:dyDescent="0.3">
      <c r="A262" s="6"/>
      <c r="B262" s="9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x14ac:dyDescent="0.3">
      <c r="A263" s="6"/>
      <c r="B263" s="9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x14ac:dyDescent="0.3">
      <c r="A264" s="6"/>
      <c r="B264" s="9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x14ac:dyDescent="0.3">
      <c r="A265" s="6"/>
      <c r="B265" s="9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x14ac:dyDescent="0.3">
      <c r="A266" s="6"/>
      <c r="B266" s="9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x14ac:dyDescent="0.3">
      <c r="A267" s="6"/>
      <c r="B267" s="9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x14ac:dyDescent="0.3">
      <c r="A268" s="6"/>
      <c r="B268" s="9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x14ac:dyDescent="0.3">
      <c r="A269" s="6"/>
      <c r="B269" s="9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x14ac:dyDescent="0.3">
      <c r="A270" s="6"/>
      <c r="B270" s="9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x14ac:dyDescent="0.3">
      <c r="A271" s="6"/>
      <c r="B271" s="9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x14ac:dyDescent="0.3">
      <c r="A272" s="6"/>
      <c r="B272" s="9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x14ac:dyDescent="0.3">
      <c r="A273" s="6"/>
      <c r="B273" s="9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x14ac:dyDescent="0.3">
      <c r="A274" s="6"/>
      <c r="B274" s="9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x14ac:dyDescent="0.3">
      <c r="A275" s="6"/>
      <c r="B275" s="9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x14ac:dyDescent="0.3">
      <c r="A276" s="6"/>
      <c r="B276" s="9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x14ac:dyDescent="0.3">
      <c r="A277" s="6"/>
      <c r="B277" s="9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x14ac:dyDescent="0.3">
      <c r="A278" s="6"/>
      <c r="B278" s="9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x14ac:dyDescent="0.3">
      <c r="A279" s="6"/>
      <c r="B279" s="9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x14ac:dyDescent="0.3">
      <c r="A280" s="6"/>
      <c r="B280" s="9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x14ac:dyDescent="0.3">
      <c r="A281" s="6"/>
      <c r="B281" s="9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x14ac:dyDescent="0.3">
      <c r="A282" s="6"/>
      <c r="B282" s="9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x14ac:dyDescent="0.3">
      <c r="A283" s="6"/>
      <c r="B283" s="9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x14ac:dyDescent="0.3">
      <c r="A284" s="6"/>
      <c r="B284" s="9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x14ac:dyDescent="0.3">
      <c r="A285" s="6"/>
      <c r="B285" s="9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x14ac:dyDescent="0.3">
      <c r="A286" s="6"/>
      <c r="B286" s="9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x14ac:dyDescent="0.3">
      <c r="A287" s="6"/>
      <c r="B287" s="9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x14ac:dyDescent="0.3">
      <c r="A288" s="6"/>
      <c r="B288" s="9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x14ac:dyDescent="0.3">
      <c r="A289" s="6"/>
      <c r="B289" s="9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x14ac:dyDescent="0.3">
      <c r="A290" s="6"/>
      <c r="B290" s="9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x14ac:dyDescent="0.3">
      <c r="A291" s="6"/>
      <c r="B291" s="9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x14ac:dyDescent="0.3">
      <c r="A292" s="6"/>
      <c r="B292" s="9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x14ac:dyDescent="0.3">
      <c r="A293" s="6"/>
      <c r="B293" s="9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x14ac:dyDescent="0.3">
      <c r="A294" s="6"/>
      <c r="B294" s="9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x14ac:dyDescent="0.3">
      <c r="A295" s="6"/>
      <c r="B295" s="9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x14ac:dyDescent="0.3">
      <c r="A296" s="6"/>
      <c r="B296" s="9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x14ac:dyDescent="0.3">
      <c r="A297" s="6"/>
      <c r="B297" s="9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x14ac:dyDescent="0.3">
      <c r="A298" s="6"/>
      <c r="B298" s="9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x14ac:dyDescent="0.3">
      <c r="A299" s="6"/>
      <c r="B299" s="9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x14ac:dyDescent="0.3">
      <c r="A300" s="6"/>
      <c r="B300" s="9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x14ac:dyDescent="0.3">
      <c r="A301" s="6"/>
      <c r="B301" s="9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x14ac:dyDescent="0.3">
      <c r="A302" s="6"/>
      <c r="B302" s="9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x14ac:dyDescent="0.3">
      <c r="A303" s="6"/>
      <c r="B303" s="9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x14ac:dyDescent="0.3">
      <c r="A304" s="6"/>
      <c r="B304" s="9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x14ac:dyDescent="0.3">
      <c r="A305" s="6"/>
      <c r="B305" s="9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x14ac:dyDescent="0.3">
      <c r="A306" s="6"/>
      <c r="B306" s="9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x14ac:dyDescent="0.3">
      <c r="A307" s="6"/>
      <c r="B307" s="9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x14ac:dyDescent="0.3">
      <c r="A308" s="6"/>
      <c r="B308" s="9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x14ac:dyDescent="0.3">
      <c r="A309" s="6"/>
      <c r="B309" s="9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x14ac:dyDescent="0.3">
      <c r="A310" s="6"/>
      <c r="B310" s="9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x14ac:dyDescent="0.3">
      <c r="A311" s="6"/>
      <c r="B311" s="9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x14ac:dyDescent="0.3">
      <c r="A312" s="6"/>
      <c r="B312" s="9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x14ac:dyDescent="0.3">
      <c r="A313" s="6"/>
      <c r="B313" s="9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x14ac:dyDescent="0.3">
      <c r="A314" s="6"/>
      <c r="B314" s="9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x14ac:dyDescent="0.3">
      <c r="A315" s="6"/>
      <c r="B315" s="9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x14ac:dyDescent="0.3">
      <c r="A316" s="6"/>
      <c r="B316" s="9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x14ac:dyDescent="0.3">
      <c r="A317" s="6"/>
      <c r="B317" s="9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x14ac:dyDescent="0.3">
      <c r="A318" s="6"/>
      <c r="B318" s="9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x14ac:dyDescent="0.3">
      <c r="A319" s="6"/>
      <c r="B319" s="9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x14ac:dyDescent="0.3">
      <c r="A320" s="6"/>
      <c r="B320" s="9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x14ac:dyDescent="0.3">
      <c r="A321" s="6"/>
      <c r="B321" s="9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x14ac:dyDescent="0.3">
      <c r="A322" s="6"/>
      <c r="B322" s="9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x14ac:dyDescent="0.3">
      <c r="A323" s="6"/>
      <c r="B323" s="9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x14ac:dyDescent="0.3">
      <c r="A324" s="6"/>
      <c r="B324" s="9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x14ac:dyDescent="0.3">
      <c r="A325" s="6"/>
      <c r="B325" s="9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x14ac:dyDescent="0.3">
      <c r="A326" s="6"/>
      <c r="B326" s="9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x14ac:dyDescent="0.3">
      <c r="A327" s="6"/>
      <c r="B327" s="9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x14ac:dyDescent="0.3">
      <c r="A328" s="6"/>
      <c r="B328" s="9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x14ac:dyDescent="0.3">
      <c r="A329" s="6"/>
      <c r="B329" s="9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x14ac:dyDescent="0.3">
      <c r="A330" s="6"/>
      <c r="B330" s="9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x14ac:dyDescent="0.3">
      <c r="A331" s="6"/>
      <c r="B331" s="9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x14ac:dyDescent="0.3">
      <c r="A332" s="6"/>
      <c r="B332" s="9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x14ac:dyDescent="0.3">
      <c r="A333" s="6"/>
      <c r="B333" s="9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x14ac:dyDescent="0.3">
      <c r="A334" s="6"/>
      <c r="B334" s="9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x14ac:dyDescent="0.3">
      <c r="A335" s="6"/>
      <c r="B335" s="9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x14ac:dyDescent="0.3">
      <c r="A336" s="6"/>
      <c r="B336" s="9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x14ac:dyDescent="0.3">
      <c r="A337" s="6"/>
      <c r="B337" s="9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x14ac:dyDescent="0.3">
      <c r="A338" s="6"/>
      <c r="B338" s="9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x14ac:dyDescent="0.3">
      <c r="A339" s="6"/>
      <c r="B339" s="9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x14ac:dyDescent="0.3">
      <c r="A340" s="6"/>
      <c r="B340" s="9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x14ac:dyDescent="0.3">
      <c r="A341" s="6"/>
      <c r="B341" s="9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x14ac:dyDescent="0.3">
      <c r="A342" s="6"/>
      <c r="B342" s="9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x14ac:dyDescent="0.3">
      <c r="A343" s="6"/>
      <c r="B343" s="9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x14ac:dyDescent="0.3">
      <c r="A344" s="6"/>
      <c r="B344" s="9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x14ac:dyDescent="0.3">
      <c r="A345" s="6"/>
      <c r="B345" s="9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x14ac:dyDescent="0.3">
      <c r="A346" s="6"/>
      <c r="B346" s="9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x14ac:dyDescent="0.3">
      <c r="A347" s="10"/>
      <c r="B347" s="9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x14ac:dyDescent="0.3">
      <c r="A348" s="10"/>
      <c r="B348" s="9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x14ac:dyDescent="0.3">
      <c r="A349" s="10"/>
      <c r="B349" s="9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x14ac:dyDescent="0.3">
      <c r="A350" s="10"/>
      <c r="B350" s="9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x14ac:dyDescent="0.3">
      <c r="A351" s="10"/>
      <c r="B351" s="9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x14ac:dyDescent="0.3">
      <c r="A352" s="10"/>
      <c r="B352" s="9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x14ac:dyDescent="0.3">
      <c r="A353" s="10"/>
      <c r="B353" s="9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x14ac:dyDescent="0.3">
      <c r="A354" s="10"/>
      <c r="B354" s="9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x14ac:dyDescent="0.3">
      <c r="A355" s="10"/>
      <c r="B355" s="9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x14ac:dyDescent="0.3">
      <c r="A356" s="10"/>
      <c r="B356" s="9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x14ac:dyDescent="0.3">
      <c r="A357" s="10"/>
      <c r="B357" s="9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x14ac:dyDescent="0.3">
      <c r="A358" s="10"/>
      <c r="B358" s="9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x14ac:dyDescent="0.3">
      <c r="A359" s="10"/>
      <c r="B359" s="9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x14ac:dyDescent="0.3">
      <c r="A360" s="10"/>
      <c r="B360" s="9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x14ac:dyDescent="0.3">
      <c r="A361" s="10"/>
      <c r="B361" s="9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x14ac:dyDescent="0.3">
      <c r="A362" s="10"/>
      <c r="B362" s="9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x14ac:dyDescent="0.3">
      <c r="A363" s="10"/>
      <c r="B363" s="9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x14ac:dyDescent="0.3">
      <c r="A364" s="10"/>
      <c r="B364" s="9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x14ac:dyDescent="0.3">
      <c r="A365" s="10"/>
      <c r="B365" s="9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x14ac:dyDescent="0.3">
      <c r="A366" s="10"/>
      <c r="B366" s="9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x14ac:dyDescent="0.3">
      <c r="A367" s="10"/>
      <c r="B367" s="9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x14ac:dyDescent="0.3">
      <c r="A368" s="10"/>
      <c r="B368" s="9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x14ac:dyDescent="0.3">
      <c r="A369" s="10"/>
      <c r="B369" s="9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x14ac:dyDescent="0.3">
      <c r="A370" s="10"/>
      <c r="B370" s="9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x14ac:dyDescent="0.3">
      <c r="A371" s="10"/>
      <c r="B371" s="9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x14ac:dyDescent="0.3">
      <c r="A372" s="10"/>
      <c r="B372" s="9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x14ac:dyDescent="0.3">
      <c r="A373" s="10"/>
      <c r="B373" s="9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x14ac:dyDescent="0.3">
      <c r="A374" s="10"/>
      <c r="B374" s="9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x14ac:dyDescent="0.3">
      <c r="A375" s="10"/>
      <c r="B375" s="9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x14ac:dyDescent="0.3">
      <c r="A376" s="10"/>
      <c r="B376" s="9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x14ac:dyDescent="0.3">
      <c r="A377" s="10"/>
      <c r="B377" s="9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x14ac:dyDescent="0.3">
      <c r="A378" s="10"/>
      <c r="B378" s="9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x14ac:dyDescent="0.3">
      <c r="A379" s="10"/>
      <c r="B379" s="9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x14ac:dyDescent="0.3">
      <c r="A380" s="10"/>
      <c r="B380" s="9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x14ac:dyDescent="0.3">
      <c r="A381" s="10"/>
      <c r="B381" s="9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x14ac:dyDescent="0.3">
      <c r="A382" s="10"/>
      <c r="B382" s="9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x14ac:dyDescent="0.3">
      <c r="A383" s="10"/>
      <c r="B383" s="9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x14ac:dyDescent="0.3">
      <c r="A384" s="10"/>
      <c r="B384" s="9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x14ac:dyDescent="0.3">
      <c r="A385" s="10"/>
      <c r="B385" s="9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x14ac:dyDescent="0.3">
      <c r="A386" s="10"/>
      <c r="B386" s="9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x14ac:dyDescent="0.3">
      <c r="A387" s="10"/>
      <c r="B387" s="9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x14ac:dyDescent="0.3">
      <c r="A388" s="10"/>
      <c r="B388" s="9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x14ac:dyDescent="0.3">
      <c r="A389" s="10"/>
      <c r="B389" s="9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x14ac:dyDescent="0.3">
      <c r="A390" s="10"/>
      <c r="B390" s="9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x14ac:dyDescent="0.3">
      <c r="A391" s="10"/>
      <c r="B391" s="9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x14ac:dyDescent="0.3">
      <c r="A392" s="10"/>
      <c r="B392" s="9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x14ac:dyDescent="0.3">
      <c r="A393" s="10"/>
      <c r="B393" s="9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x14ac:dyDescent="0.3">
      <c r="A394" s="10"/>
      <c r="B394" s="9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x14ac:dyDescent="0.3">
      <c r="A395" s="10"/>
      <c r="B395" s="9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x14ac:dyDescent="0.3">
      <c r="A396" s="10"/>
      <c r="B396" s="9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x14ac:dyDescent="0.3">
      <c r="A397" s="10"/>
      <c r="B397" s="9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x14ac:dyDescent="0.3">
      <c r="A398" s="10"/>
      <c r="B398" s="9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x14ac:dyDescent="0.3">
      <c r="A399" s="10"/>
      <c r="B399" s="9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x14ac:dyDescent="0.3">
      <c r="A400" s="10"/>
      <c r="B400" s="9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x14ac:dyDescent="0.3">
      <c r="A401" s="10"/>
      <c r="B401" s="9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x14ac:dyDescent="0.3">
      <c r="A402" s="10"/>
      <c r="B402" s="9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x14ac:dyDescent="0.3">
      <c r="A403" s="10"/>
      <c r="B403" s="9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x14ac:dyDescent="0.3">
      <c r="A404" s="10"/>
      <c r="B404" s="9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x14ac:dyDescent="0.3">
      <c r="A405" s="10"/>
      <c r="B405" s="9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x14ac:dyDescent="0.3">
      <c r="A406" s="10"/>
      <c r="B406" s="9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x14ac:dyDescent="0.3">
      <c r="A407" s="10"/>
      <c r="B407" s="9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x14ac:dyDescent="0.3">
      <c r="A408" s="10"/>
      <c r="B408" s="9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x14ac:dyDescent="0.3">
      <c r="A409" s="10"/>
      <c r="B409" s="9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x14ac:dyDescent="0.3">
      <c r="A410" s="10"/>
      <c r="B410" s="9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x14ac:dyDescent="0.3">
      <c r="A411" s="10"/>
      <c r="B411" s="9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x14ac:dyDescent="0.3">
      <c r="A412" s="10"/>
      <c r="B412" s="9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x14ac:dyDescent="0.3">
      <c r="A413" s="10"/>
      <c r="B413" s="9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x14ac:dyDescent="0.3">
      <c r="A414" s="10"/>
      <c r="B414" s="9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x14ac:dyDescent="0.3">
      <c r="A415" s="10"/>
      <c r="B415" s="9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x14ac:dyDescent="0.3">
      <c r="A416" s="10"/>
      <c r="B416" s="9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x14ac:dyDescent="0.3">
      <c r="A417" s="10"/>
      <c r="B417" s="9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x14ac:dyDescent="0.3">
      <c r="A418" s="10"/>
      <c r="B418" s="9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x14ac:dyDescent="0.3">
      <c r="A419" s="10"/>
      <c r="B419" s="9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x14ac:dyDescent="0.3">
      <c r="A420" s="10"/>
      <c r="B420" s="9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x14ac:dyDescent="0.3">
      <c r="A421" s="10"/>
      <c r="B421" s="9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x14ac:dyDescent="0.3">
      <c r="A422" s="10"/>
      <c r="B422" s="9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x14ac:dyDescent="0.3">
      <c r="A423" s="10"/>
      <c r="B423" s="9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x14ac:dyDescent="0.3">
      <c r="A424" s="10"/>
      <c r="B424" s="9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x14ac:dyDescent="0.3">
      <c r="A425" s="10"/>
      <c r="B425" s="9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x14ac:dyDescent="0.3">
      <c r="A426" s="10"/>
      <c r="B426" s="9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x14ac:dyDescent="0.3">
      <c r="A427" s="10"/>
      <c r="B427" s="9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x14ac:dyDescent="0.3">
      <c r="A428" s="10"/>
      <c r="B428" s="9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x14ac:dyDescent="0.3">
      <c r="A429" s="10"/>
      <c r="B429" s="9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x14ac:dyDescent="0.3">
      <c r="A430" s="10"/>
      <c r="B430" s="9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x14ac:dyDescent="0.3">
      <c r="A431" s="10"/>
      <c r="B431" s="9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x14ac:dyDescent="0.3">
      <c r="A432" s="10"/>
      <c r="B432" s="9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x14ac:dyDescent="0.3">
      <c r="A433" s="10"/>
      <c r="B433" s="9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x14ac:dyDescent="0.3">
      <c r="A434" s="10"/>
      <c r="B434" s="9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x14ac:dyDescent="0.3">
      <c r="A435" s="10"/>
      <c r="B435" s="9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x14ac:dyDescent="0.3">
      <c r="A436" s="10"/>
      <c r="B436" s="9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x14ac:dyDescent="0.3">
      <c r="A437" s="10"/>
      <c r="B437" s="9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x14ac:dyDescent="0.3">
      <c r="A438" s="10"/>
      <c r="B438" s="9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x14ac:dyDescent="0.3">
      <c r="A439" s="10"/>
      <c r="B439" s="9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x14ac:dyDescent="0.3">
      <c r="A440" s="10"/>
      <c r="B440" s="9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x14ac:dyDescent="0.3">
      <c r="A441" s="10"/>
      <c r="B441" s="9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x14ac:dyDescent="0.3">
      <c r="A442" s="10"/>
      <c r="B442" s="9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x14ac:dyDescent="0.3">
      <c r="A443" s="10"/>
      <c r="B443" s="9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x14ac:dyDescent="0.3">
      <c r="A444" s="10"/>
      <c r="B444" s="9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x14ac:dyDescent="0.3">
      <c r="A445" s="10"/>
      <c r="B445" s="9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x14ac:dyDescent="0.3">
      <c r="A446" s="10"/>
      <c r="B446" s="9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x14ac:dyDescent="0.3">
      <c r="A447" s="10"/>
      <c r="B447" s="9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x14ac:dyDescent="0.3">
      <c r="A448" s="10"/>
      <c r="B448" s="9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x14ac:dyDescent="0.3">
      <c r="A449" s="10"/>
      <c r="B449" s="9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x14ac:dyDescent="0.3">
      <c r="A450" s="10"/>
      <c r="B450" s="9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x14ac:dyDescent="0.3">
      <c r="A451" s="10"/>
      <c r="B451" s="9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x14ac:dyDescent="0.3">
      <c r="A452" s="10"/>
      <c r="B452" s="9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x14ac:dyDescent="0.3">
      <c r="A453" s="10"/>
      <c r="B453" s="9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x14ac:dyDescent="0.3">
      <c r="A454" s="10"/>
      <c r="B454" s="9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x14ac:dyDescent="0.3">
      <c r="A455" s="10"/>
      <c r="B455" s="9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x14ac:dyDescent="0.3">
      <c r="A456" s="10"/>
      <c r="B456" s="9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x14ac:dyDescent="0.3">
      <c r="A457" s="10"/>
      <c r="B457" s="9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x14ac:dyDescent="0.3">
      <c r="A458" s="10"/>
      <c r="B458" s="9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x14ac:dyDescent="0.3">
      <c r="A459" s="10"/>
      <c r="B459" s="9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x14ac:dyDescent="0.3">
      <c r="A460" s="10"/>
      <c r="B460" s="9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x14ac:dyDescent="0.3">
      <c r="A461" s="10"/>
      <c r="B461" s="9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x14ac:dyDescent="0.3">
      <c r="A462" s="10"/>
      <c r="B462" s="9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x14ac:dyDescent="0.3">
      <c r="A463" s="10"/>
      <c r="B463" s="9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x14ac:dyDescent="0.3">
      <c r="A464" s="10"/>
      <c r="B464" s="9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x14ac:dyDescent="0.3">
      <c r="A465" s="10"/>
      <c r="B465" s="9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x14ac:dyDescent="0.3">
      <c r="A466" s="10"/>
      <c r="B466" s="9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x14ac:dyDescent="0.3">
      <c r="A467" s="10"/>
      <c r="B467" s="9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x14ac:dyDescent="0.3">
      <c r="A468" s="10"/>
      <c r="B468" s="9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x14ac:dyDescent="0.3">
      <c r="A469" s="10"/>
      <c r="B469" s="9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x14ac:dyDescent="0.3">
      <c r="A470" s="10"/>
      <c r="B470" s="9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x14ac:dyDescent="0.3">
      <c r="A471" s="10"/>
      <c r="B471" s="9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x14ac:dyDescent="0.3">
      <c r="A472" s="10"/>
      <c r="B472" s="9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x14ac:dyDescent="0.3">
      <c r="A473" s="10"/>
      <c r="B473" s="9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x14ac:dyDescent="0.3">
      <c r="A474" s="10"/>
      <c r="B474" s="9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x14ac:dyDescent="0.3">
      <c r="A475" s="10"/>
      <c r="B475" s="9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x14ac:dyDescent="0.3">
      <c r="A476" s="10"/>
      <c r="B476" s="9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x14ac:dyDescent="0.3">
      <c r="A477" s="10"/>
      <c r="B477" s="9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x14ac:dyDescent="0.3">
      <c r="A478" s="10"/>
      <c r="B478" s="9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x14ac:dyDescent="0.3">
      <c r="A479" s="10"/>
      <c r="B479" s="9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x14ac:dyDescent="0.3">
      <c r="A480" s="10"/>
      <c r="B480" s="9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x14ac:dyDescent="0.3">
      <c r="A481" s="10"/>
      <c r="B481" s="9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x14ac:dyDescent="0.3">
      <c r="A482" s="10"/>
      <c r="B482" s="9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x14ac:dyDescent="0.3">
      <c r="A483" s="10"/>
      <c r="B483" s="9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x14ac:dyDescent="0.3">
      <c r="A484" s="10"/>
      <c r="B484" s="9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x14ac:dyDescent="0.3">
      <c r="A485" s="10"/>
      <c r="B485" s="9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x14ac:dyDescent="0.3">
      <c r="A486" s="10"/>
      <c r="B486" s="9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x14ac:dyDescent="0.3">
      <c r="A487" s="10"/>
      <c r="B487" s="9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x14ac:dyDescent="0.3">
      <c r="A488" s="10"/>
      <c r="B488" s="9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x14ac:dyDescent="0.3">
      <c r="A489" s="10"/>
      <c r="B489" s="9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x14ac:dyDescent="0.3">
      <c r="A490" s="10"/>
      <c r="B490" s="9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x14ac:dyDescent="0.3">
      <c r="A491" s="10"/>
      <c r="B491" s="9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x14ac:dyDescent="0.3">
      <c r="A492" s="10"/>
      <c r="B492" s="9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x14ac:dyDescent="0.3">
      <c r="A493" s="10"/>
      <c r="B493" s="9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x14ac:dyDescent="0.3">
      <c r="A494" s="10"/>
      <c r="B494" s="9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x14ac:dyDescent="0.3">
      <c r="A495" s="10"/>
      <c r="B495" s="9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x14ac:dyDescent="0.3">
      <c r="A496" s="10"/>
      <c r="B496" s="9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x14ac:dyDescent="0.3">
      <c r="A497" s="10"/>
      <c r="B497" s="9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x14ac:dyDescent="0.3">
      <c r="A498" s="10"/>
      <c r="B498" s="9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x14ac:dyDescent="0.3">
      <c r="A499" s="10"/>
      <c r="B499" s="9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x14ac:dyDescent="0.3">
      <c r="A500" s="10"/>
      <c r="B500" s="9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x14ac:dyDescent="0.3">
      <c r="A501" s="10"/>
      <c r="B501" s="9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x14ac:dyDescent="0.3">
      <c r="A502" s="10"/>
      <c r="B502" s="9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x14ac:dyDescent="0.3">
      <c r="A503" s="10"/>
      <c r="B503" s="9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x14ac:dyDescent="0.3">
      <c r="A504" s="10"/>
      <c r="B504" s="9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x14ac:dyDescent="0.3">
      <c r="A505" s="10"/>
      <c r="B505" s="9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x14ac:dyDescent="0.3">
      <c r="A506" s="10"/>
      <c r="B506" s="9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x14ac:dyDescent="0.3">
      <c r="A507" s="10"/>
      <c r="B507" s="9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x14ac:dyDescent="0.3">
      <c r="A508" s="10"/>
      <c r="B508" s="9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x14ac:dyDescent="0.3">
      <c r="A509" s="10"/>
      <c r="B509" s="9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x14ac:dyDescent="0.3">
      <c r="A510" s="10"/>
      <c r="B510" s="9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x14ac:dyDescent="0.3">
      <c r="A511" s="10"/>
      <c r="B511" s="9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x14ac:dyDescent="0.3">
      <c r="A512" s="10"/>
      <c r="B512" s="9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x14ac:dyDescent="0.3">
      <c r="A513" s="10"/>
      <c r="B513" s="9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x14ac:dyDescent="0.3">
      <c r="A514" s="10"/>
      <c r="B514" s="9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x14ac:dyDescent="0.3">
      <c r="A515" s="10"/>
      <c r="B515" s="9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x14ac:dyDescent="0.3">
      <c r="A516" s="10"/>
      <c r="B516" s="9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x14ac:dyDescent="0.3">
      <c r="A517" s="10"/>
      <c r="B517" s="9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x14ac:dyDescent="0.3">
      <c r="A518" s="10"/>
      <c r="B518" s="9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x14ac:dyDescent="0.3">
      <c r="A519" s="10"/>
      <c r="B519" s="9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x14ac:dyDescent="0.3">
      <c r="A520" s="10"/>
      <c r="B520" s="9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x14ac:dyDescent="0.3">
      <c r="A521" s="10"/>
      <c r="B521" s="9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x14ac:dyDescent="0.3">
      <c r="A522" s="10"/>
      <c r="B522" s="9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x14ac:dyDescent="0.3">
      <c r="A523" s="10"/>
      <c r="B523" s="9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x14ac:dyDescent="0.3">
      <c r="A524" s="10"/>
      <c r="B524" s="9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x14ac:dyDescent="0.3">
      <c r="A525" s="10"/>
      <c r="B525" s="9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x14ac:dyDescent="0.3">
      <c r="A526" s="10"/>
      <c r="B526" s="9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x14ac:dyDescent="0.3">
      <c r="A527" s="10"/>
      <c r="B527" s="9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x14ac:dyDescent="0.3">
      <c r="A528" s="10"/>
      <c r="B528" s="9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x14ac:dyDescent="0.3">
      <c r="A529" s="10"/>
      <c r="B529" s="9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x14ac:dyDescent="0.3">
      <c r="A530" s="10"/>
      <c r="B530" s="9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x14ac:dyDescent="0.3">
      <c r="A531" s="10"/>
      <c r="B531" s="9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x14ac:dyDescent="0.3">
      <c r="A532" s="10"/>
      <c r="B532" s="9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x14ac:dyDescent="0.3">
      <c r="A533" s="10"/>
      <c r="B533" s="9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x14ac:dyDescent="0.3">
      <c r="A534" s="10"/>
      <c r="B534" s="9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x14ac:dyDescent="0.3">
      <c r="A535" s="10"/>
      <c r="B535" s="9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x14ac:dyDescent="0.3">
      <c r="A536" s="10"/>
      <c r="B536" s="9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x14ac:dyDescent="0.3">
      <c r="A537" s="10"/>
      <c r="B537" s="9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x14ac:dyDescent="0.3">
      <c r="A538" s="10"/>
      <c r="B538" s="9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x14ac:dyDescent="0.3">
      <c r="A539" s="10"/>
      <c r="B539" s="9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x14ac:dyDescent="0.3">
      <c r="A540" s="10"/>
      <c r="B540" s="9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x14ac:dyDescent="0.3">
      <c r="A541" s="10"/>
      <c r="B541" s="9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x14ac:dyDescent="0.3">
      <c r="A542" s="10"/>
      <c r="B542" s="9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x14ac:dyDescent="0.3">
      <c r="A543" s="10"/>
      <c r="B543" s="9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x14ac:dyDescent="0.3">
      <c r="A544" s="10"/>
      <c r="B544" s="9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x14ac:dyDescent="0.3">
      <c r="A545" s="10"/>
      <c r="B545" s="9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x14ac:dyDescent="0.3">
      <c r="A546" s="10"/>
      <c r="B546" s="9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x14ac:dyDescent="0.3">
      <c r="A547" s="10"/>
      <c r="B547" s="9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x14ac:dyDescent="0.3">
      <c r="A548" s="10"/>
      <c r="B548" s="9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x14ac:dyDescent="0.3">
      <c r="A549" s="10"/>
      <c r="B549" s="9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x14ac:dyDescent="0.3">
      <c r="A550" s="10"/>
      <c r="B550" s="9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x14ac:dyDescent="0.3">
      <c r="A551" s="10"/>
      <c r="B551" s="9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x14ac:dyDescent="0.3">
      <c r="A552" s="10"/>
      <c r="B552" s="9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x14ac:dyDescent="0.3">
      <c r="A553" s="10"/>
      <c r="B553" s="9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x14ac:dyDescent="0.3">
      <c r="A554" s="10"/>
      <c r="B554" s="9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x14ac:dyDescent="0.3">
      <c r="A555" s="10"/>
      <c r="B555" s="9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x14ac:dyDescent="0.3">
      <c r="A556" s="10"/>
      <c r="B556" s="9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x14ac:dyDescent="0.3">
      <c r="A557" s="10"/>
      <c r="B557" s="9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x14ac:dyDescent="0.3">
      <c r="A558" s="10"/>
      <c r="B558" s="9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x14ac:dyDescent="0.3">
      <c r="A559" s="10"/>
      <c r="B559" s="9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x14ac:dyDescent="0.3">
      <c r="A560" s="10"/>
      <c r="B560" s="9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x14ac:dyDescent="0.3">
      <c r="A561" s="10"/>
      <c r="B561" s="9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x14ac:dyDescent="0.3">
      <c r="A562" s="10"/>
      <c r="B562" s="9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x14ac:dyDescent="0.3">
      <c r="A563" s="10"/>
      <c r="B563" s="9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x14ac:dyDescent="0.3">
      <c r="A564" s="10"/>
      <c r="B564" s="9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x14ac:dyDescent="0.3">
      <c r="A565" s="10"/>
      <c r="B565" s="9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x14ac:dyDescent="0.3">
      <c r="A566" s="10"/>
      <c r="B566" s="9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x14ac:dyDescent="0.3">
      <c r="A567" s="10"/>
      <c r="B567" s="9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x14ac:dyDescent="0.3">
      <c r="A568" s="10"/>
      <c r="B568" s="9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x14ac:dyDescent="0.3">
      <c r="A569" s="10"/>
      <c r="B569" s="9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x14ac:dyDescent="0.3">
      <c r="A570" s="10"/>
      <c r="B570" s="9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x14ac:dyDescent="0.3">
      <c r="A571" s="10"/>
      <c r="B571" s="9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x14ac:dyDescent="0.3">
      <c r="A572" s="10"/>
      <c r="B572" s="9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x14ac:dyDescent="0.3">
      <c r="A573" s="10"/>
      <c r="B573" s="9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x14ac:dyDescent="0.3">
      <c r="A574" s="10"/>
      <c r="B574" s="9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x14ac:dyDescent="0.3">
      <c r="A575" s="10"/>
      <c r="B575" s="9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x14ac:dyDescent="0.3">
      <c r="A576" s="10"/>
      <c r="B576" s="9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x14ac:dyDescent="0.3">
      <c r="A577" s="10"/>
      <c r="B577" s="9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x14ac:dyDescent="0.3">
      <c r="A578" s="10"/>
      <c r="B578" s="9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x14ac:dyDescent="0.3">
      <c r="A579" s="10"/>
      <c r="B579" s="9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x14ac:dyDescent="0.3">
      <c r="A580" s="10"/>
      <c r="B580" s="9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x14ac:dyDescent="0.3">
      <c r="A581" s="10"/>
      <c r="B581" s="9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x14ac:dyDescent="0.3">
      <c r="A582" s="10"/>
      <c r="B582" s="9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x14ac:dyDescent="0.3">
      <c r="A583" s="10"/>
      <c r="B583" s="9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x14ac:dyDescent="0.3">
      <c r="A584" s="10"/>
      <c r="B584" s="9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x14ac:dyDescent="0.3">
      <c r="A585" s="10"/>
      <c r="B585" s="9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x14ac:dyDescent="0.3">
      <c r="A586" s="10"/>
      <c r="B586" s="9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x14ac:dyDescent="0.3">
      <c r="A587" s="10"/>
      <c r="B587" s="9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x14ac:dyDescent="0.3">
      <c r="A588" s="10"/>
      <c r="B588" s="9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x14ac:dyDescent="0.3">
      <c r="A589" s="10"/>
      <c r="B589" s="9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x14ac:dyDescent="0.3">
      <c r="A590" s="10"/>
      <c r="B590" s="9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x14ac:dyDescent="0.3">
      <c r="A591" s="10"/>
      <c r="B591" s="9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x14ac:dyDescent="0.3">
      <c r="A592" s="10"/>
      <c r="B592" s="9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x14ac:dyDescent="0.3">
      <c r="A593" s="10"/>
      <c r="B593" s="9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x14ac:dyDescent="0.3">
      <c r="A594" s="10"/>
      <c r="B594" s="9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x14ac:dyDescent="0.3">
      <c r="A595" s="10"/>
      <c r="B595" s="9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x14ac:dyDescent="0.3">
      <c r="A596" s="10"/>
      <c r="B596" s="9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x14ac:dyDescent="0.3">
      <c r="A597" s="10"/>
      <c r="B597" s="9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x14ac:dyDescent="0.3">
      <c r="A598" s="10"/>
      <c r="B598" s="9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x14ac:dyDescent="0.3">
      <c r="A599" s="10"/>
      <c r="B599" s="9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x14ac:dyDescent="0.3">
      <c r="A600" s="10"/>
      <c r="B600" s="9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x14ac:dyDescent="0.3">
      <c r="A601" s="10"/>
      <c r="B601" s="9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x14ac:dyDescent="0.3">
      <c r="A602" s="10"/>
      <c r="B602" s="9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x14ac:dyDescent="0.3">
      <c r="A603" s="10"/>
      <c r="B603" s="9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x14ac:dyDescent="0.3">
      <c r="A604" s="10"/>
      <c r="B604" s="9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x14ac:dyDescent="0.3">
      <c r="A605" s="10"/>
      <c r="B605" s="9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x14ac:dyDescent="0.3">
      <c r="A606" s="10"/>
      <c r="B606" s="9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x14ac:dyDescent="0.3">
      <c r="A607" s="10"/>
      <c r="B607" s="9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x14ac:dyDescent="0.3">
      <c r="A608" s="10"/>
      <c r="B608" s="9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x14ac:dyDescent="0.3">
      <c r="A609" s="10"/>
      <c r="B609" s="9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x14ac:dyDescent="0.3">
      <c r="A610" s="10"/>
      <c r="B610" s="9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x14ac:dyDescent="0.3">
      <c r="A611" s="10"/>
      <c r="B611" s="9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x14ac:dyDescent="0.3">
      <c r="A612" s="10"/>
      <c r="B612" s="9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x14ac:dyDescent="0.3">
      <c r="A613" s="10"/>
      <c r="B613" s="9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x14ac:dyDescent="0.3">
      <c r="A614" s="10"/>
      <c r="B614" s="9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x14ac:dyDescent="0.3">
      <c r="A615" s="10"/>
      <c r="B615" s="9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x14ac:dyDescent="0.3">
      <c r="A616" s="10"/>
      <c r="B616" s="9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x14ac:dyDescent="0.3">
      <c r="A617" s="10"/>
      <c r="B617" s="9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x14ac:dyDescent="0.3">
      <c r="A618" s="10"/>
      <c r="B618" s="9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x14ac:dyDescent="0.3">
      <c r="A619" s="10"/>
      <c r="B619" s="9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x14ac:dyDescent="0.3">
      <c r="A620" s="10"/>
      <c r="B620" s="9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x14ac:dyDescent="0.3">
      <c r="A621" s="10"/>
      <c r="B621" s="9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x14ac:dyDescent="0.3">
      <c r="A622" s="10"/>
      <c r="B622" s="9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x14ac:dyDescent="0.3">
      <c r="A623" s="10"/>
      <c r="B623" s="9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x14ac:dyDescent="0.3">
      <c r="A624" s="10"/>
      <c r="B624" s="9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x14ac:dyDescent="0.3">
      <c r="A625" s="10"/>
      <c r="B625" s="9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x14ac:dyDescent="0.3">
      <c r="A626" s="10"/>
      <c r="B626" s="9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x14ac:dyDescent="0.3">
      <c r="A627" s="10"/>
      <c r="B627" s="9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x14ac:dyDescent="0.3">
      <c r="A628" s="10"/>
      <c r="B628" s="9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x14ac:dyDescent="0.3">
      <c r="A629" s="10"/>
      <c r="B629" s="9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x14ac:dyDescent="0.3">
      <c r="A630" s="10"/>
      <c r="B630" s="9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x14ac:dyDescent="0.3">
      <c r="A631" s="10"/>
      <c r="B631" s="9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x14ac:dyDescent="0.3">
      <c r="A632" s="10"/>
      <c r="B632" s="9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x14ac:dyDescent="0.3">
      <c r="A633" s="10"/>
      <c r="B633" s="9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x14ac:dyDescent="0.3">
      <c r="A634" s="10"/>
      <c r="B634" s="9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x14ac:dyDescent="0.3">
      <c r="A635" s="10"/>
      <c r="B635" s="9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x14ac:dyDescent="0.3">
      <c r="A636" s="10"/>
      <c r="B636" s="9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x14ac:dyDescent="0.3">
      <c r="A637" s="10"/>
      <c r="B637" s="9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x14ac:dyDescent="0.3">
      <c r="A638" s="10"/>
      <c r="B638" s="9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x14ac:dyDescent="0.3">
      <c r="A639" s="10"/>
      <c r="B639" s="9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x14ac:dyDescent="0.3">
      <c r="A640" s="10"/>
      <c r="B640" s="9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x14ac:dyDescent="0.3">
      <c r="A641" s="10"/>
      <c r="B641" s="9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x14ac:dyDescent="0.3">
      <c r="A642" s="10"/>
      <c r="B642" s="9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x14ac:dyDescent="0.3">
      <c r="A643" s="10"/>
      <c r="B643" s="9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x14ac:dyDescent="0.3">
      <c r="A644" s="10"/>
      <c r="B644" s="9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x14ac:dyDescent="0.3">
      <c r="A645" s="10"/>
      <c r="B645" s="9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x14ac:dyDescent="0.3">
      <c r="A646" s="10"/>
      <c r="B646" s="9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x14ac:dyDescent="0.3">
      <c r="A647" s="10"/>
      <c r="B647" s="9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x14ac:dyDescent="0.3">
      <c r="A648" s="10"/>
      <c r="B648" s="9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x14ac:dyDescent="0.3">
      <c r="A649" s="10"/>
      <c r="B649" s="9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x14ac:dyDescent="0.3">
      <c r="A650" s="10"/>
      <c r="B650" s="9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x14ac:dyDescent="0.3">
      <c r="A651" s="10"/>
      <c r="B651" s="9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x14ac:dyDescent="0.3">
      <c r="A652" s="10"/>
      <c r="B652" s="9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x14ac:dyDescent="0.3">
      <c r="A653" s="10"/>
      <c r="B653" s="9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x14ac:dyDescent="0.3">
      <c r="A654" s="10"/>
      <c r="B654" s="9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x14ac:dyDescent="0.3">
      <c r="A655" s="10"/>
      <c r="B655" s="9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x14ac:dyDescent="0.3">
      <c r="A656" s="10"/>
      <c r="B656" s="9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x14ac:dyDescent="0.3">
      <c r="A657" s="10"/>
      <c r="B657" s="9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x14ac:dyDescent="0.3">
      <c r="A658" s="10"/>
      <c r="B658" s="9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x14ac:dyDescent="0.3">
      <c r="A659" s="10"/>
      <c r="B659" s="9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x14ac:dyDescent="0.3">
      <c r="A660" s="10"/>
      <c r="B660" s="9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x14ac:dyDescent="0.3">
      <c r="A661" s="10"/>
      <c r="B661" s="9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x14ac:dyDescent="0.3">
      <c r="A662" s="10"/>
      <c r="B662" s="9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x14ac:dyDescent="0.3">
      <c r="A663" s="10"/>
      <c r="B663" s="9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x14ac:dyDescent="0.3">
      <c r="A664" s="10"/>
      <c r="B664" s="9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x14ac:dyDescent="0.3">
      <c r="A665" s="10"/>
      <c r="B665" s="9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x14ac:dyDescent="0.3">
      <c r="A666" s="10"/>
      <c r="B666" s="9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x14ac:dyDescent="0.3">
      <c r="A667" s="10"/>
      <c r="B667" s="9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x14ac:dyDescent="0.3">
      <c r="A668" s="10"/>
      <c r="B668" s="9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x14ac:dyDescent="0.3">
      <c r="A669" s="10"/>
      <c r="B669" s="9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x14ac:dyDescent="0.3">
      <c r="A670" s="10"/>
      <c r="B670" s="9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x14ac:dyDescent="0.3">
      <c r="A671" s="10"/>
      <c r="B671" s="9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x14ac:dyDescent="0.3">
      <c r="A672" s="10"/>
      <c r="B672" s="9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x14ac:dyDescent="0.3">
      <c r="A673" s="10"/>
      <c r="B673" s="9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x14ac:dyDescent="0.3">
      <c r="A674" s="10"/>
      <c r="B674" s="9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x14ac:dyDescent="0.3">
      <c r="A675" s="10"/>
      <c r="B675" s="9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x14ac:dyDescent="0.3">
      <c r="A676" s="10"/>
      <c r="B676" s="9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x14ac:dyDescent="0.3">
      <c r="A677" s="10"/>
      <c r="B677" s="9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x14ac:dyDescent="0.3">
      <c r="A678" s="10"/>
      <c r="B678" s="9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x14ac:dyDescent="0.3">
      <c r="A679" s="10"/>
      <c r="B679" s="9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x14ac:dyDescent="0.3">
      <c r="A680" s="10"/>
      <c r="B680" s="9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x14ac:dyDescent="0.3">
      <c r="A681" s="10"/>
      <c r="B681" s="9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x14ac:dyDescent="0.3">
      <c r="A682" s="10"/>
      <c r="B682" s="9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x14ac:dyDescent="0.3">
      <c r="A683" s="10"/>
      <c r="B683" s="9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x14ac:dyDescent="0.3">
      <c r="A684" s="10"/>
      <c r="B684" s="9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x14ac:dyDescent="0.3">
      <c r="A685" s="10"/>
      <c r="B685" s="9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x14ac:dyDescent="0.3">
      <c r="A686" s="10"/>
      <c r="B686" s="9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x14ac:dyDescent="0.3">
      <c r="A687" s="10"/>
      <c r="B687" s="9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x14ac:dyDescent="0.3">
      <c r="A688" s="10"/>
      <c r="B688" s="9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x14ac:dyDescent="0.3">
      <c r="A689" s="10"/>
      <c r="B689" s="9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x14ac:dyDescent="0.3">
      <c r="A690" s="10"/>
      <c r="B690" s="9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x14ac:dyDescent="0.3">
      <c r="A691" s="10"/>
      <c r="B691" s="9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x14ac:dyDescent="0.3">
      <c r="A692" s="10"/>
      <c r="B692" s="9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x14ac:dyDescent="0.3">
      <c r="A693" s="10"/>
      <c r="B693" s="9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x14ac:dyDescent="0.3">
      <c r="A694" s="10"/>
      <c r="B694" s="9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x14ac:dyDescent="0.3">
      <c r="A695" s="10"/>
      <c r="B695" s="9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x14ac:dyDescent="0.3">
      <c r="A696" s="10"/>
      <c r="B696" s="9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x14ac:dyDescent="0.3">
      <c r="A697" s="10"/>
      <c r="B697" s="9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x14ac:dyDescent="0.3">
      <c r="A698" s="10"/>
      <c r="B698" s="9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x14ac:dyDescent="0.3">
      <c r="A699" s="10"/>
      <c r="B699" s="9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x14ac:dyDescent="0.3">
      <c r="A700" s="10"/>
      <c r="B700" s="9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x14ac:dyDescent="0.3">
      <c r="A701" s="10"/>
      <c r="B701" s="9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x14ac:dyDescent="0.3">
      <c r="A702" s="10"/>
      <c r="B702" s="9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x14ac:dyDescent="0.3">
      <c r="A703" s="10"/>
      <c r="B703" s="9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x14ac:dyDescent="0.3">
      <c r="A704" s="10"/>
      <c r="B704" s="9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x14ac:dyDescent="0.3">
      <c r="A705" s="10"/>
      <c r="B705" s="9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x14ac:dyDescent="0.3">
      <c r="A706" s="10"/>
      <c r="B706" s="9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x14ac:dyDescent="0.3">
      <c r="A707" s="10"/>
      <c r="B707" s="9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x14ac:dyDescent="0.3">
      <c r="A708" s="10"/>
      <c r="B708" s="9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x14ac:dyDescent="0.3">
      <c r="A709" s="10"/>
      <c r="B709" s="9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x14ac:dyDescent="0.3">
      <c r="A710" s="10"/>
      <c r="B710" s="9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x14ac:dyDescent="0.3">
      <c r="A711" s="10"/>
      <c r="B711" s="9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x14ac:dyDescent="0.3">
      <c r="A712" s="10"/>
      <c r="B712" s="9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x14ac:dyDescent="0.3">
      <c r="A713" s="10"/>
      <c r="B713" s="9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x14ac:dyDescent="0.3">
      <c r="A714" s="10"/>
      <c r="B714" s="9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x14ac:dyDescent="0.3">
      <c r="A715" s="10"/>
      <c r="B715" s="9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x14ac:dyDescent="0.3">
      <c r="A716" s="10"/>
      <c r="B716" s="9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x14ac:dyDescent="0.3">
      <c r="A717" s="10"/>
      <c r="B717" s="9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x14ac:dyDescent="0.3">
      <c r="A718" s="10"/>
      <c r="B718" s="9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x14ac:dyDescent="0.3">
      <c r="A719" s="10"/>
      <c r="B719" s="9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x14ac:dyDescent="0.3">
      <c r="A720" s="10"/>
      <c r="B720" s="9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x14ac:dyDescent="0.3">
      <c r="A721" s="10"/>
      <c r="B721" s="9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x14ac:dyDescent="0.3">
      <c r="A722" s="10"/>
      <c r="B722" s="9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x14ac:dyDescent="0.3">
      <c r="A723" s="10"/>
      <c r="B723" s="9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x14ac:dyDescent="0.3">
      <c r="A724" s="10"/>
      <c r="B724" s="9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x14ac:dyDescent="0.3">
      <c r="A725" s="10"/>
      <c r="B725" s="9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x14ac:dyDescent="0.3">
      <c r="A726" s="10"/>
      <c r="B726" s="9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x14ac:dyDescent="0.3">
      <c r="A727" s="10"/>
      <c r="B727" s="9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x14ac:dyDescent="0.3">
      <c r="A728" s="10"/>
      <c r="B728" s="9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x14ac:dyDescent="0.3">
      <c r="A729" s="10"/>
      <c r="B729" s="9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x14ac:dyDescent="0.3">
      <c r="A730" s="10"/>
      <c r="B730" s="9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x14ac:dyDescent="0.3">
      <c r="A731" s="10"/>
      <c r="B731" s="9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x14ac:dyDescent="0.3">
      <c r="A732" s="10"/>
      <c r="B732" s="9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x14ac:dyDescent="0.3">
      <c r="A733" s="10"/>
      <c r="B733" s="9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x14ac:dyDescent="0.3">
      <c r="A734" s="10"/>
      <c r="B734" s="9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x14ac:dyDescent="0.3">
      <c r="A735" s="10"/>
      <c r="B735" s="9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x14ac:dyDescent="0.3">
      <c r="A736" s="10"/>
      <c r="B736" s="9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x14ac:dyDescent="0.3">
      <c r="A737" s="10"/>
      <c r="B737" s="9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x14ac:dyDescent="0.3">
      <c r="A738" s="10"/>
      <c r="B738" s="9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x14ac:dyDescent="0.3">
      <c r="A739" s="10"/>
      <c r="B739" s="9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x14ac:dyDescent="0.3">
      <c r="A740" s="10"/>
      <c r="B740" s="9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x14ac:dyDescent="0.3">
      <c r="A741" s="10"/>
      <c r="B741" s="9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x14ac:dyDescent="0.3">
      <c r="A742" s="10"/>
      <c r="B742" s="9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x14ac:dyDescent="0.3">
      <c r="A743" s="10"/>
      <c r="B743" s="9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x14ac:dyDescent="0.3">
      <c r="A744" s="10"/>
      <c r="B744" s="9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x14ac:dyDescent="0.3">
      <c r="A745" s="10"/>
      <c r="B745" s="9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x14ac:dyDescent="0.3">
      <c r="A746" s="10"/>
      <c r="B746" s="9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x14ac:dyDescent="0.3">
      <c r="A747" s="10"/>
      <c r="B747" s="9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x14ac:dyDescent="0.3">
      <c r="A748" s="10"/>
      <c r="B748" s="9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x14ac:dyDescent="0.3">
      <c r="A749" s="10"/>
      <c r="B749" s="9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x14ac:dyDescent="0.3">
      <c r="A750" s="10"/>
      <c r="B750" s="9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x14ac:dyDescent="0.3">
      <c r="A751" s="10"/>
      <c r="B751" s="9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x14ac:dyDescent="0.3">
      <c r="A752" s="10"/>
      <c r="B752" s="9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x14ac:dyDescent="0.3">
      <c r="A753" s="10"/>
      <c r="B753" s="9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x14ac:dyDescent="0.3">
      <c r="A754" s="10"/>
      <c r="B754" s="9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x14ac:dyDescent="0.3">
      <c r="A755" s="10"/>
      <c r="B755" s="9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x14ac:dyDescent="0.3">
      <c r="A756" s="10"/>
      <c r="B756" s="9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x14ac:dyDescent="0.3">
      <c r="A757" s="10"/>
      <c r="B757" s="9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x14ac:dyDescent="0.3">
      <c r="A758" s="10"/>
      <c r="B758" s="9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x14ac:dyDescent="0.3">
      <c r="A759" s="10"/>
      <c r="B759" s="9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x14ac:dyDescent="0.3">
      <c r="A760" s="10"/>
      <c r="B760" s="9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x14ac:dyDescent="0.3">
      <c r="A761" s="10"/>
      <c r="B761" s="9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x14ac:dyDescent="0.3">
      <c r="A762" s="10"/>
      <c r="B762" s="9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x14ac:dyDescent="0.3">
      <c r="A763" s="10"/>
      <c r="B763" s="9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x14ac:dyDescent="0.3">
      <c r="A764" s="10"/>
      <c r="B764" s="9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x14ac:dyDescent="0.3">
      <c r="A765" s="10"/>
      <c r="B765" s="9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x14ac:dyDescent="0.3">
      <c r="A766" s="10"/>
      <c r="B766" s="9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x14ac:dyDescent="0.3">
      <c r="A767" s="10"/>
      <c r="B767" s="9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x14ac:dyDescent="0.3">
      <c r="A768" s="10"/>
      <c r="B768" s="9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x14ac:dyDescent="0.3">
      <c r="A769" s="10"/>
      <c r="B769" s="9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x14ac:dyDescent="0.3">
      <c r="A770" s="10"/>
      <c r="B770" s="9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x14ac:dyDescent="0.3">
      <c r="A771" s="10"/>
      <c r="B771" s="9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x14ac:dyDescent="0.3">
      <c r="A772" s="10"/>
      <c r="B772" s="9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x14ac:dyDescent="0.3">
      <c r="A773" s="10"/>
      <c r="B773" s="9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x14ac:dyDescent="0.3">
      <c r="A774" s="10"/>
      <c r="B774" s="9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x14ac:dyDescent="0.3">
      <c r="A775" s="10"/>
      <c r="B775" s="9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x14ac:dyDescent="0.3">
      <c r="A776" s="10"/>
      <c r="B776" s="9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x14ac:dyDescent="0.3">
      <c r="A777" s="10"/>
      <c r="B777" s="9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x14ac:dyDescent="0.3">
      <c r="A778" s="10"/>
      <c r="B778" s="9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x14ac:dyDescent="0.3">
      <c r="A779" s="10"/>
      <c r="B779" s="9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x14ac:dyDescent="0.3">
      <c r="A780" s="10"/>
      <c r="B780" s="9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x14ac:dyDescent="0.3">
      <c r="A781" s="10"/>
      <c r="B781" s="9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x14ac:dyDescent="0.3">
      <c r="A782" s="10"/>
      <c r="B782" s="9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x14ac:dyDescent="0.3">
      <c r="A783" s="10"/>
      <c r="B783" s="9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x14ac:dyDescent="0.3">
      <c r="A784" s="10"/>
      <c r="B784" s="9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x14ac:dyDescent="0.3">
      <c r="A785" s="10"/>
      <c r="B785" s="9"/>
      <c r="C785" s="8"/>
      <c r="D785" s="3"/>
      <c r="E785" s="3"/>
      <c r="F785" s="3"/>
      <c r="G785" s="3"/>
      <c r="H785" s="3"/>
      <c r="I785" s="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x14ac:dyDescent="0.3">
      <c r="A786" s="10"/>
      <c r="B786" s="9"/>
      <c r="C786" s="8"/>
      <c r="D786" s="3"/>
      <c r="E786" s="3"/>
      <c r="F786" s="3"/>
      <c r="G786" s="3"/>
      <c r="H786" s="3"/>
      <c r="I786" s="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x14ac:dyDescent="0.3">
      <c r="A787" s="10"/>
      <c r="B787" s="9"/>
      <c r="C787" s="8"/>
      <c r="D787" s="3"/>
      <c r="E787" s="3"/>
      <c r="F787" s="3"/>
      <c r="G787" s="3"/>
      <c r="H787" s="3"/>
      <c r="I787" s="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x14ac:dyDescent="0.3">
      <c r="A788" s="10"/>
      <c r="B788" s="9"/>
      <c r="C788" s="8"/>
      <c r="D788" s="3"/>
      <c r="E788" s="3"/>
      <c r="F788" s="3"/>
      <c r="G788" s="3"/>
      <c r="H788" s="3"/>
      <c r="I788" s="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x14ac:dyDescent="0.3">
      <c r="A789" s="10"/>
      <c r="B789" s="9"/>
      <c r="C789" s="8"/>
      <c r="D789" s="3"/>
      <c r="E789" s="3"/>
      <c r="F789" s="3"/>
      <c r="G789" s="3"/>
      <c r="H789" s="3"/>
      <c r="I789" s="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x14ac:dyDescent="0.3">
      <c r="A790" s="10"/>
      <c r="B790" s="9"/>
      <c r="C790" s="8"/>
      <c r="D790" s="3"/>
      <c r="E790" s="3"/>
      <c r="F790" s="3"/>
      <c r="G790" s="3"/>
      <c r="H790" s="3"/>
      <c r="I790" s="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x14ac:dyDescent="0.3">
      <c r="A791" s="10"/>
      <c r="B791" s="9"/>
      <c r="C791" s="8"/>
      <c r="D791" s="3"/>
      <c r="E791" s="3"/>
      <c r="F791" s="3"/>
      <c r="G791" s="3"/>
      <c r="H791" s="3"/>
      <c r="I791" s="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x14ac:dyDescent="0.3">
      <c r="A792" s="10"/>
      <c r="B792" s="9"/>
      <c r="C792" s="8"/>
      <c r="D792" s="3"/>
      <c r="E792" s="3"/>
      <c r="F792" s="3"/>
      <c r="G792" s="3"/>
      <c r="H792" s="3"/>
      <c r="I792" s="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x14ac:dyDescent="0.3">
      <c r="A793" s="10"/>
      <c r="B793" s="9"/>
      <c r="C793" s="8"/>
      <c r="D793" s="3"/>
      <c r="E793" s="3"/>
      <c r="F793" s="3"/>
      <c r="G793" s="3"/>
      <c r="H793" s="3"/>
      <c r="I793" s="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x14ac:dyDescent="0.3">
      <c r="A794" s="10"/>
      <c r="B794" s="9"/>
      <c r="C794" s="8"/>
      <c r="D794" s="3"/>
      <c r="E794" s="3"/>
      <c r="F794" s="3"/>
      <c r="G794" s="3"/>
      <c r="H794" s="3"/>
      <c r="I794" s="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x14ac:dyDescent="0.3">
      <c r="A795" s="10"/>
      <c r="B795" s="9"/>
      <c r="C795" s="8"/>
      <c r="D795" s="3"/>
      <c r="E795" s="3"/>
      <c r="F795" s="3"/>
      <c r="G795" s="3"/>
      <c r="H795" s="3"/>
      <c r="I795" s="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x14ac:dyDescent="0.3">
      <c r="A796" s="10"/>
      <c r="B796" s="9"/>
      <c r="C796" s="8"/>
      <c r="D796" s="3"/>
      <c r="E796" s="3"/>
      <c r="F796" s="3"/>
      <c r="G796" s="3"/>
      <c r="H796" s="3"/>
      <c r="I796" s="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x14ac:dyDescent="0.3">
      <c r="A797" s="10"/>
      <c r="B797" s="9"/>
      <c r="C797" s="8"/>
      <c r="D797" s="3"/>
      <c r="E797" s="3"/>
      <c r="F797" s="3"/>
      <c r="G797" s="3"/>
      <c r="H797" s="3"/>
      <c r="I797" s="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x14ac:dyDescent="0.3">
      <c r="A798" s="10"/>
      <c r="B798" s="9"/>
      <c r="C798" s="8"/>
      <c r="D798" s="3"/>
      <c r="E798" s="3"/>
      <c r="F798" s="3"/>
      <c r="G798" s="3"/>
      <c r="H798" s="3"/>
      <c r="I798" s="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x14ac:dyDescent="0.3">
      <c r="A799" s="10"/>
      <c r="B799" s="9"/>
      <c r="C799" s="8"/>
      <c r="D799" s="3"/>
      <c r="E799" s="3"/>
      <c r="F799" s="3"/>
      <c r="G799" s="3"/>
      <c r="H799" s="3"/>
      <c r="I799" s="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x14ac:dyDescent="0.3">
      <c r="A800" s="10"/>
      <c r="B800" s="9"/>
      <c r="C800" s="8"/>
      <c r="D800" s="3"/>
      <c r="E800" s="3"/>
      <c r="F800" s="3"/>
      <c r="G800" s="3"/>
      <c r="H800" s="3"/>
      <c r="I800" s="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x14ac:dyDescent="0.3">
      <c r="A801" s="10"/>
      <c r="B801" s="9"/>
      <c r="C801" s="8"/>
      <c r="D801" s="3"/>
      <c r="E801" s="3"/>
      <c r="F801" s="3"/>
      <c r="G801" s="3"/>
      <c r="H801" s="3"/>
      <c r="I801" s="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x14ac:dyDescent="0.3">
      <c r="A802" s="10"/>
      <c r="B802" s="9"/>
      <c r="C802" s="8"/>
      <c r="D802" s="3"/>
      <c r="E802" s="3"/>
      <c r="F802" s="3"/>
      <c r="G802" s="3"/>
      <c r="H802" s="3"/>
      <c r="I802" s="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x14ac:dyDescent="0.3">
      <c r="A803" s="10"/>
      <c r="B803" s="9"/>
      <c r="C803" s="8"/>
      <c r="D803" s="3"/>
      <c r="E803" s="3"/>
      <c r="F803" s="3"/>
      <c r="G803" s="3"/>
      <c r="H803" s="3"/>
      <c r="I803" s="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x14ac:dyDescent="0.3">
      <c r="A804" s="10"/>
      <c r="B804" s="9"/>
      <c r="C804" s="8"/>
      <c r="D804" s="3"/>
      <c r="E804" s="3"/>
      <c r="F804" s="3"/>
      <c r="G804" s="3"/>
      <c r="H804" s="3"/>
      <c r="I804" s="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x14ac:dyDescent="0.3">
      <c r="A805" s="10"/>
      <c r="B805" s="9"/>
      <c r="C805" s="8"/>
      <c r="D805" s="3"/>
      <c r="E805" s="2"/>
      <c r="F805" s="2"/>
      <c r="G805" s="2"/>
      <c r="H805" s="2"/>
      <c r="I805" s="7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x14ac:dyDescent="0.3">
      <c r="A806" s="10"/>
      <c r="B806" s="9"/>
      <c r="C806" s="8"/>
      <c r="D806" s="3"/>
      <c r="E806" s="3"/>
      <c r="F806" s="3"/>
      <c r="G806" s="3"/>
      <c r="H806" s="3"/>
      <c r="I806" s="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x14ac:dyDescent="0.3">
      <c r="A807" s="10"/>
      <c r="B807" s="9"/>
      <c r="C807" s="8"/>
      <c r="D807" s="3"/>
      <c r="E807" s="3"/>
      <c r="F807" s="3"/>
      <c r="G807" s="3"/>
      <c r="H807" s="3"/>
      <c r="I807" s="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x14ac:dyDescent="0.3">
      <c r="A808" s="10"/>
      <c r="B808" s="9"/>
      <c r="C808" s="8"/>
      <c r="D808" s="3"/>
      <c r="E808" s="3"/>
      <c r="F808" s="3"/>
      <c r="G808" s="3"/>
      <c r="H808" s="3"/>
      <c r="I808" s="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x14ac:dyDescent="0.3">
      <c r="A809" s="10"/>
      <c r="B809" s="9"/>
      <c r="C809" s="8"/>
      <c r="D809" s="3"/>
      <c r="E809" s="3"/>
      <c r="F809" s="3"/>
      <c r="G809" s="3"/>
      <c r="H809" s="3"/>
      <c r="I809" s="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x14ac:dyDescent="0.3">
      <c r="A810" s="10"/>
      <c r="B810" s="9"/>
      <c r="C810" s="8"/>
      <c r="D810" s="3"/>
      <c r="E810" s="3"/>
      <c r="F810" s="3"/>
      <c r="G810" s="3"/>
      <c r="H810" s="3"/>
      <c r="I810" s="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x14ac:dyDescent="0.3">
      <c r="A811" s="10"/>
      <c r="B811" s="9"/>
      <c r="C811" s="8"/>
      <c r="D811" s="3"/>
      <c r="E811" s="3"/>
      <c r="F811" s="3"/>
      <c r="G811" s="3"/>
      <c r="H811" s="3"/>
      <c r="I811" s="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x14ac:dyDescent="0.3">
      <c r="A812" s="10"/>
      <c r="B812" s="9"/>
      <c r="C812" s="8"/>
      <c r="D812" s="3"/>
      <c r="E812" s="3"/>
      <c r="F812" s="3"/>
      <c r="G812" s="3"/>
      <c r="H812" s="3"/>
      <c r="I812" s="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x14ac:dyDescent="0.3">
      <c r="A813" s="10"/>
      <c r="B813" s="9"/>
      <c r="C813" s="8"/>
      <c r="D813" s="3"/>
      <c r="E813" s="3"/>
      <c r="F813" s="3"/>
      <c r="G813" s="3"/>
      <c r="H813" s="3"/>
      <c r="I813" s="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x14ac:dyDescent="0.3">
      <c r="A814" s="10"/>
      <c r="B814" s="9"/>
      <c r="C814" s="8"/>
      <c r="D814" s="3"/>
      <c r="E814" s="3"/>
      <c r="F814" s="3"/>
      <c r="G814" s="3"/>
      <c r="H814" s="3"/>
      <c r="I814" s="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x14ac:dyDescent="0.3">
      <c r="A815" s="10"/>
      <c r="B815" s="9"/>
      <c r="C815" s="8"/>
      <c r="D815" s="3"/>
      <c r="E815" s="3"/>
      <c r="F815" s="3"/>
      <c r="G815" s="3"/>
      <c r="H815" s="3"/>
      <c r="I815" s="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x14ac:dyDescent="0.3">
      <c r="A816" s="10"/>
      <c r="B816" s="9"/>
      <c r="C816" s="8"/>
      <c r="D816" s="3"/>
      <c r="E816" s="3"/>
      <c r="F816" s="3"/>
      <c r="G816" s="3"/>
      <c r="H816" s="3"/>
      <c r="I816" s="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x14ac:dyDescent="0.3">
      <c r="A817" s="10"/>
      <c r="B817" s="9"/>
      <c r="C817" s="8"/>
      <c r="D817" s="3"/>
      <c r="E817" s="3"/>
      <c r="F817" s="3"/>
      <c r="G817" s="3"/>
      <c r="H817" s="3"/>
      <c r="I817" s="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x14ac:dyDescent="0.3">
      <c r="A818" s="10"/>
      <c r="B818" s="9"/>
      <c r="C818" s="8"/>
      <c r="D818" s="3"/>
      <c r="E818" s="3"/>
      <c r="F818" s="3"/>
      <c r="G818" s="3"/>
      <c r="H818" s="3"/>
      <c r="I818" s="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x14ac:dyDescent="0.3">
      <c r="A819" s="10"/>
      <c r="B819" s="9"/>
      <c r="C819" s="8"/>
      <c r="D819" s="3"/>
      <c r="E819" s="3"/>
      <c r="F819" s="3"/>
      <c r="G819" s="3"/>
      <c r="H819" s="3"/>
      <c r="I819" s="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x14ac:dyDescent="0.3">
      <c r="A820" s="10"/>
      <c r="B820" s="9"/>
      <c r="C820" s="8"/>
      <c r="D820" s="3"/>
      <c r="E820" s="2"/>
      <c r="F820" s="2"/>
      <c r="G820" s="2"/>
      <c r="H820" s="2"/>
      <c r="I820" s="7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x14ac:dyDescent="0.3">
      <c r="A821" s="10"/>
      <c r="B821" s="9"/>
      <c r="C821" s="8"/>
      <c r="D821" s="3"/>
      <c r="E821" s="3"/>
      <c r="F821" s="3"/>
      <c r="G821" s="3"/>
      <c r="H821" s="3"/>
      <c r="I821" s="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x14ac:dyDescent="0.3">
      <c r="A822" s="10"/>
      <c r="B822" s="9"/>
      <c r="C822" s="8"/>
      <c r="D822" s="3"/>
      <c r="E822" s="3"/>
      <c r="F822" s="3"/>
      <c r="G822" s="3"/>
      <c r="H822" s="3"/>
      <c r="I822" s="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x14ac:dyDescent="0.3">
      <c r="A823" s="10"/>
      <c r="B823" s="9"/>
      <c r="C823" s="8"/>
      <c r="D823" s="3"/>
      <c r="E823" s="3"/>
      <c r="F823" s="3"/>
      <c r="G823" s="3"/>
      <c r="H823" s="3"/>
      <c r="I823" s="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x14ac:dyDescent="0.3">
      <c r="A824" s="10"/>
      <c r="B824" s="9"/>
      <c r="C824" s="8"/>
      <c r="D824" s="3"/>
      <c r="E824" s="3"/>
      <c r="F824" s="3"/>
      <c r="G824" s="3"/>
      <c r="H824" s="3"/>
      <c r="I824" s="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x14ac:dyDescent="0.3">
      <c r="A825" s="10"/>
      <c r="B825" s="9"/>
      <c r="C825" s="8"/>
      <c r="D825" s="3"/>
      <c r="E825" s="3"/>
      <c r="F825" s="3"/>
      <c r="G825" s="3"/>
      <c r="H825" s="3"/>
      <c r="I825" s="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x14ac:dyDescent="0.3">
      <c r="A826" s="10"/>
      <c r="B826" s="9"/>
      <c r="C826" s="8"/>
      <c r="D826" s="3"/>
      <c r="E826" s="3"/>
      <c r="F826" s="3"/>
      <c r="G826" s="3"/>
      <c r="H826" s="3"/>
      <c r="I826" s="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x14ac:dyDescent="0.3">
      <c r="A827" s="10"/>
      <c r="B827" s="9"/>
      <c r="C827" s="8"/>
      <c r="D827" s="3"/>
      <c r="E827" s="3"/>
      <c r="F827" s="3"/>
      <c r="G827" s="3"/>
      <c r="H827" s="3"/>
      <c r="I827" s="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x14ac:dyDescent="0.3">
      <c r="A828" s="10"/>
      <c r="B828" s="9"/>
      <c r="C828" s="8"/>
      <c r="D828" s="3"/>
      <c r="E828" s="3"/>
      <c r="F828" s="3"/>
      <c r="G828" s="3"/>
      <c r="H828" s="3"/>
      <c r="I828" s="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x14ac:dyDescent="0.3">
      <c r="A829" s="10"/>
      <c r="B829" s="9"/>
      <c r="C829" s="8"/>
      <c r="D829" s="3"/>
      <c r="E829" s="3"/>
      <c r="F829" s="3"/>
      <c r="G829" s="3"/>
      <c r="H829" s="3"/>
      <c r="I829" s="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x14ac:dyDescent="0.3">
      <c r="A830" s="10"/>
      <c r="B830" s="9"/>
      <c r="C830" s="8"/>
      <c r="D830" s="3"/>
      <c r="E830" s="3"/>
      <c r="F830" s="3"/>
      <c r="G830" s="3"/>
      <c r="H830" s="3"/>
      <c r="I830" s="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x14ac:dyDescent="0.3">
      <c r="A831" s="10"/>
      <c r="B831" s="9"/>
      <c r="C831" s="8"/>
      <c r="D831" s="3"/>
      <c r="E831" s="3"/>
      <c r="F831" s="3"/>
      <c r="G831" s="3"/>
      <c r="H831" s="3"/>
      <c r="I831" s="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x14ac:dyDescent="0.3">
      <c r="A832" s="10"/>
      <c r="B832" s="9"/>
      <c r="C832" s="8"/>
      <c r="D832" s="3"/>
      <c r="E832" s="3"/>
      <c r="F832" s="3"/>
      <c r="G832" s="3"/>
      <c r="H832" s="3"/>
      <c r="I832" s="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x14ac:dyDescent="0.3">
      <c r="A833" s="10"/>
      <c r="B833" s="9"/>
      <c r="C833" s="8"/>
      <c r="D833" s="3"/>
      <c r="E833" s="2"/>
      <c r="F833" s="2"/>
      <c r="G833" s="2"/>
      <c r="H833" s="2"/>
      <c r="I833" s="7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x14ac:dyDescent="0.3">
      <c r="A834" s="10"/>
      <c r="B834" s="9"/>
      <c r="C834" s="8"/>
      <c r="D834" s="3"/>
      <c r="E834" s="3"/>
      <c r="F834" s="3"/>
      <c r="G834" s="3"/>
      <c r="H834" s="3"/>
      <c r="I834" s="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x14ac:dyDescent="0.3">
      <c r="A835" s="10"/>
      <c r="B835" s="9"/>
      <c r="C835" s="8"/>
      <c r="D835" s="3"/>
      <c r="E835" s="3"/>
      <c r="F835" s="3"/>
      <c r="G835" s="3"/>
      <c r="H835" s="3"/>
      <c r="I835" s="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x14ac:dyDescent="0.3">
      <c r="A836" s="10"/>
      <c r="B836" s="9"/>
      <c r="C836" s="8"/>
      <c r="D836" s="3"/>
      <c r="E836" s="3"/>
      <c r="F836" s="3"/>
      <c r="G836" s="3"/>
      <c r="H836" s="3"/>
      <c r="I836" s="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x14ac:dyDescent="0.3">
      <c r="A837" s="10"/>
      <c r="B837" s="9"/>
      <c r="C837" s="8"/>
      <c r="D837" s="3"/>
      <c r="E837" s="3"/>
      <c r="F837" s="3"/>
      <c r="G837" s="3"/>
      <c r="H837" s="3"/>
      <c r="I837" s="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x14ac:dyDescent="0.3">
      <c r="A838" s="10"/>
      <c r="B838" s="9"/>
      <c r="C838" s="8"/>
      <c r="D838" s="3"/>
      <c r="E838" s="3"/>
      <c r="F838" s="3"/>
      <c r="G838" s="3"/>
      <c r="H838" s="3"/>
      <c r="I838" s="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x14ac:dyDescent="0.3">
      <c r="A839" s="10"/>
      <c r="B839" s="9"/>
      <c r="C839" s="8"/>
      <c r="D839" s="3"/>
      <c r="E839" s="3"/>
      <c r="F839" s="3"/>
      <c r="G839" s="3"/>
      <c r="H839" s="3"/>
      <c r="I839" s="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x14ac:dyDescent="0.3">
      <c r="A840" s="10"/>
      <c r="B840" s="9"/>
      <c r="C840" s="8"/>
      <c r="D840" s="3"/>
      <c r="E840" s="3"/>
      <c r="F840" s="3"/>
      <c r="G840" s="3"/>
      <c r="H840" s="3"/>
      <c r="I840" s="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x14ac:dyDescent="0.3">
      <c r="A841" s="10"/>
      <c r="B841" s="9"/>
      <c r="C841" s="8"/>
      <c r="D841" s="3"/>
      <c r="E841" s="3"/>
      <c r="F841" s="3"/>
      <c r="G841" s="3"/>
      <c r="H841" s="3"/>
      <c r="I841" s="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x14ac:dyDescent="0.3">
      <c r="A842" s="10"/>
      <c r="B842" s="9"/>
      <c r="C842" s="8"/>
      <c r="D842" s="3"/>
      <c r="E842" s="3"/>
      <c r="F842" s="3"/>
      <c r="G842" s="3"/>
      <c r="H842" s="3"/>
      <c r="I842" s="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x14ac:dyDescent="0.3">
      <c r="A843" s="10"/>
      <c r="B843" s="9"/>
      <c r="C843" s="8"/>
      <c r="D843" s="3"/>
      <c r="E843" s="3"/>
      <c r="F843" s="3"/>
      <c r="G843" s="3"/>
      <c r="H843" s="3"/>
      <c r="I843" s="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x14ac:dyDescent="0.3">
      <c r="A844" s="10"/>
      <c r="B844" s="9"/>
      <c r="C844" s="8"/>
      <c r="D844" s="3"/>
      <c r="E844" s="3"/>
      <c r="F844" s="3"/>
      <c r="G844" s="3"/>
      <c r="H844" s="3"/>
      <c r="I844" s="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x14ac:dyDescent="0.3">
      <c r="A845" s="10"/>
      <c r="B845" s="9"/>
      <c r="C845" s="8"/>
      <c r="D845" s="3"/>
      <c r="E845" s="3"/>
      <c r="F845" s="3"/>
      <c r="G845" s="3"/>
      <c r="H845" s="3"/>
      <c r="I845" s="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x14ac:dyDescent="0.3">
      <c r="A846" s="10"/>
      <c r="B846" s="9"/>
      <c r="C846" s="8"/>
      <c r="D846" s="3"/>
      <c r="E846" s="3"/>
      <c r="F846" s="3"/>
      <c r="G846" s="3"/>
      <c r="H846" s="3"/>
      <c r="I846" s="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x14ac:dyDescent="0.3">
      <c r="A847" s="10"/>
      <c r="B847" s="9"/>
      <c r="C847" s="8"/>
      <c r="D847" s="3"/>
      <c r="E847" s="3"/>
      <c r="F847" s="3"/>
      <c r="G847" s="3"/>
      <c r="H847" s="3"/>
      <c r="I847" s="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x14ac:dyDescent="0.3">
      <c r="A848" s="10"/>
      <c r="B848" s="9"/>
      <c r="C848" s="8"/>
      <c r="D848" s="3"/>
      <c r="E848" s="3"/>
      <c r="F848" s="3"/>
      <c r="G848" s="3"/>
      <c r="H848" s="3"/>
      <c r="I848" s="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x14ac:dyDescent="0.3">
      <c r="A849" s="10"/>
      <c r="B849" s="9"/>
      <c r="C849" s="8"/>
      <c r="D849" s="3"/>
      <c r="E849" s="3"/>
      <c r="F849" s="3"/>
      <c r="G849" s="3"/>
      <c r="H849" s="3"/>
      <c r="I849" s="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x14ac:dyDescent="0.3">
      <c r="A850" s="10"/>
      <c r="B850" s="9"/>
      <c r="C850" s="8"/>
      <c r="D850" s="3"/>
      <c r="E850" s="3"/>
      <c r="F850" s="3"/>
      <c r="G850" s="3"/>
      <c r="H850" s="3"/>
      <c r="I850" s="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x14ac:dyDescent="0.3">
      <c r="A851" s="10"/>
      <c r="B851" s="9"/>
      <c r="C851" s="8"/>
      <c r="D851" s="3"/>
      <c r="E851" s="2"/>
      <c r="F851" s="2"/>
      <c r="G851" s="2"/>
      <c r="H851" s="2"/>
      <c r="I851" s="7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x14ac:dyDescent="0.3">
      <c r="A852" s="10"/>
      <c r="B852" s="9"/>
      <c r="C852" s="8"/>
      <c r="D852" s="3"/>
      <c r="E852" s="3"/>
      <c r="F852" s="3"/>
      <c r="G852" s="3"/>
      <c r="H852" s="3"/>
      <c r="I852" s="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x14ac:dyDescent="0.3">
      <c r="A853" s="10"/>
      <c r="B853" s="9"/>
      <c r="C853" s="8"/>
      <c r="D853" s="3"/>
      <c r="E853" s="3"/>
      <c r="F853" s="3"/>
      <c r="G853" s="3"/>
      <c r="H853" s="3"/>
      <c r="I853" s="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x14ac:dyDescent="0.3">
      <c r="A854" s="10"/>
      <c r="B854" s="9"/>
      <c r="C854" s="8"/>
      <c r="D854" s="3"/>
      <c r="E854" s="3"/>
      <c r="F854" s="3"/>
      <c r="G854" s="3"/>
      <c r="H854" s="3"/>
      <c r="I854" s="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x14ac:dyDescent="0.3">
      <c r="A855" s="10"/>
      <c r="B855" s="9"/>
      <c r="C855" s="8"/>
      <c r="D855" s="3"/>
      <c r="E855" s="3"/>
      <c r="F855" s="3"/>
      <c r="G855" s="3"/>
      <c r="H855" s="3"/>
      <c r="I855" s="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x14ac:dyDescent="0.3">
      <c r="A856" s="10"/>
      <c r="B856" s="9"/>
      <c r="C856" s="8"/>
      <c r="D856" s="3"/>
      <c r="E856" s="3"/>
      <c r="F856" s="3"/>
      <c r="G856" s="3"/>
      <c r="H856" s="3"/>
      <c r="I856" s="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x14ac:dyDescent="0.3">
      <c r="A857" s="10"/>
      <c r="B857" s="9"/>
      <c r="C857" s="8"/>
      <c r="D857" s="3"/>
      <c r="E857" s="3"/>
      <c r="F857" s="3"/>
      <c r="G857" s="3"/>
      <c r="H857" s="3"/>
      <c r="I857" s="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x14ac:dyDescent="0.3">
      <c r="A858" s="10"/>
      <c r="B858" s="9"/>
      <c r="C858" s="8"/>
      <c r="D858" s="3"/>
      <c r="E858" s="3"/>
      <c r="F858" s="3"/>
      <c r="G858" s="3"/>
      <c r="H858" s="3"/>
      <c r="I858" s="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x14ac:dyDescent="0.3">
      <c r="A859" s="10"/>
      <c r="B859" s="9"/>
      <c r="C859" s="8"/>
      <c r="D859" s="3"/>
      <c r="E859" s="3"/>
      <c r="F859" s="3"/>
      <c r="G859" s="3"/>
      <c r="H859" s="3"/>
      <c r="I859" s="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x14ac:dyDescent="0.3">
      <c r="A860" s="10"/>
      <c r="B860" s="9"/>
      <c r="C860" s="8"/>
      <c r="D860" s="3"/>
      <c r="E860" s="3"/>
      <c r="F860" s="3"/>
      <c r="G860" s="3"/>
      <c r="H860" s="3"/>
      <c r="I860" s="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x14ac:dyDescent="0.3">
      <c r="A861" s="10"/>
      <c r="B861" s="9"/>
      <c r="C861" s="8"/>
      <c r="D861" s="3"/>
      <c r="E861" s="3"/>
      <c r="F861" s="3"/>
      <c r="G861" s="3"/>
      <c r="H861" s="3"/>
      <c r="I861" s="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x14ac:dyDescent="0.3">
      <c r="A862" s="10"/>
      <c r="B862" s="9"/>
      <c r="C862" s="8"/>
      <c r="D862" s="3"/>
      <c r="E862" s="3"/>
      <c r="F862" s="3"/>
      <c r="G862" s="3"/>
      <c r="H862" s="3"/>
      <c r="I862" s="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x14ac:dyDescent="0.3">
      <c r="A863" s="10"/>
      <c r="B863" s="9"/>
      <c r="C863" s="8"/>
      <c r="D863" s="3"/>
      <c r="E863" s="3"/>
      <c r="F863" s="3"/>
      <c r="G863" s="3"/>
      <c r="H863" s="3"/>
      <c r="I863" s="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x14ac:dyDescent="0.3">
      <c r="A864" s="10"/>
      <c r="B864" s="9"/>
      <c r="C864" s="8"/>
      <c r="D864" s="3"/>
      <c r="E864" s="3"/>
      <c r="F864" s="3"/>
      <c r="G864" s="3"/>
      <c r="H864" s="3"/>
      <c r="I864" s="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x14ac:dyDescent="0.3">
      <c r="A865" s="10"/>
      <c r="B865" s="9"/>
      <c r="C865" s="8"/>
      <c r="D865" s="3"/>
      <c r="E865" s="3"/>
      <c r="F865" s="3"/>
      <c r="G865" s="3"/>
      <c r="H865" s="3"/>
      <c r="I865" s="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x14ac:dyDescent="0.3">
      <c r="A866" s="10"/>
      <c r="B866" s="9"/>
      <c r="C866" s="8"/>
      <c r="D866" s="3"/>
      <c r="E866" s="3"/>
      <c r="F866" s="3"/>
      <c r="G866" s="3"/>
      <c r="H866" s="3"/>
      <c r="I866" s="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x14ac:dyDescent="0.3">
      <c r="A867" s="10"/>
      <c r="B867" s="9"/>
      <c r="C867" s="8"/>
      <c r="D867" s="3"/>
      <c r="E867" s="3"/>
      <c r="F867" s="3"/>
      <c r="G867" s="3"/>
      <c r="H867" s="3"/>
      <c r="I867" s="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x14ac:dyDescent="0.3">
      <c r="A868" s="10"/>
      <c r="B868" s="9"/>
      <c r="C868" s="8"/>
      <c r="D868" s="3"/>
      <c r="E868" s="3"/>
      <c r="F868" s="3"/>
      <c r="G868" s="3"/>
      <c r="H868" s="3"/>
      <c r="I868" s="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x14ac:dyDescent="0.3">
      <c r="A869" s="10"/>
      <c r="B869" s="9"/>
      <c r="C869" s="8"/>
      <c r="D869" s="3"/>
      <c r="E869" s="3"/>
      <c r="F869" s="3"/>
      <c r="G869" s="3"/>
      <c r="H869" s="3"/>
      <c r="I869" s="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x14ac:dyDescent="0.3">
      <c r="A870" s="10"/>
      <c r="B870" s="9"/>
      <c r="C870" s="8"/>
      <c r="D870" s="3"/>
      <c r="E870" s="3"/>
      <c r="F870" s="3"/>
      <c r="G870" s="3"/>
      <c r="H870" s="3"/>
      <c r="I870" s="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x14ac:dyDescent="0.3">
      <c r="A871" s="10"/>
      <c r="B871" s="9"/>
      <c r="C871" s="8"/>
      <c r="D871" s="3"/>
      <c r="E871" s="2"/>
      <c r="F871" s="2"/>
      <c r="G871" s="2"/>
      <c r="H871" s="2"/>
      <c r="I871" s="7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x14ac:dyDescent="0.3">
      <c r="A872" s="10"/>
      <c r="B872" s="9"/>
      <c r="C872" s="8"/>
      <c r="D872" s="3"/>
      <c r="E872" s="3"/>
      <c r="F872" s="3"/>
      <c r="G872" s="3"/>
      <c r="H872" s="3"/>
      <c r="I872" s="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x14ac:dyDescent="0.3">
      <c r="A873" s="10"/>
      <c r="B873" s="9"/>
      <c r="C873" s="8"/>
      <c r="D873" s="3"/>
      <c r="E873" s="3"/>
      <c r="F873" s="3"/>
      <c r="G873" s="3"/>
      <c r="H873" s="3"/>
      <c r="I873" s="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x14ac:dyDescent="0.3">
      <c r="A874" s="10"/>
      <c r="B874" s="9"/>
      <c r="C874" s="8"/>
      <c r="D874" s="3"/>
      <c r="E874" s="3"/>
      <c r="F874" s="3"/>
      <c r="G874" s="3"/>
      <c r="H874" s="3"/>
      <c r="I874" s="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x14ac:dyDescent="0.3">
      <c r="A875" s="10"/>
      <c r="B875" s="9"/>
      <c r="C875" s="8"/>
      <c r="D875" s="3"/>
      <c r="E875" s="3"/>
      <c r="F875" s="3"/>
      <c r="G875" s="3"/>
      <c r="H875" s="3"/>
      <c r="I875" s="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x14ac:dyDescent="0.3">
      <c r="A876" s="10"/>
      <c r="B876" s="9"/>
      <c r="C876" s="8"/>
      <c r="D876" s="3"/>
      <c r="E876" s="3"/>
      <c r="F876" s="3"/>
      <c r="G876" s="3"/>
      <c r="H876" s="3"/>
      <c r="I876" s="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x14ac:dyDescent="0.3">
      <c r="A877" s="10"/>
      <c r="B877" s="9"/>
      <c r="C877" s="8"/>
      <c r="D877" s="3"/>
      <c r="E877" s="3"/>
      <c r="F877" s="3"/>
      <c r="G877" s="3"/>
      <c r="H877" s="3"/>
      <c r="I877" s="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x14ac:dyDescent="0.3">
      <c r="A878" s="10"/>
      <c r="B878" s="9"/>
      <c r="C878" s="8"/>
      <c r="D878" s="3"/>
      <c r="E878" s="3"/>
      <c r="F878" s="3"/>
      <c r="G878" s="3"/>
      <c r="H878" s="3"/>
      <c r="I878" s="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x14ac:dyDescent="0.3">
      <c r="A879" s="10"/>
      <c r="B879" s="9"/>
      <c r="C879" s="8"/>
      <c r="D879" s="3"/>
      <c r="E879" s="3"/>
      <c r="F879" s="3"/>
      <c r="G879" s="3"/>
      <c r="H879" s="3"/>
      <c r="I879" s="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x14ac:dyDescent="0.3">
      <c r="A880" s="10"/>
      <c r="B880" s="9"/>
      <c r="C880" s="8"/>
      <c r="D880" s="3"/>
      <c r="E880" s="3"/>
      <c r="F880" s="3"/>
      <c r="G880" s="3"/>
      <c r="H880" s="3"/>
      <c r="I880" s="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x14ac:dyDescent="0.3">
      <c r="A881" s="10"/>
      <c r="B881" s="9"/>
      <c r="C881" s="8"/>
      <c r="D881" s="3"/>
      <c r="E881" s="3"/>
      <c r="F881" s="3"/>
      <c r="G881" s="3"/>
      <c r="H881" s="3"/>
      <c r="I881" s="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x14ac:dyDescent="0.3">
      <c r="A882" s="10"/>
      <c r="B882" s="9"/>
      <c r="C882" s="8"/>
      <c r="D882" s="3"/>
      <c r="E882" s="3"/>
      <c r="F882" s="3"/>
      <c r="G882" s="3"/>
      <c r="H882" s="3"/>
      <c r="I882" s="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x14ac:dyDescent="0.3">
      <c r="A883" s="10"/>
      <c r="B883" s="9"/>
      <c r="C883" s="8"/>
      <c r="D883" s="3"/>
      <c r="E883" s="3"/>
      <c r="F883" s="3"/>
      <c r="G883" s="3"/>
      <c r="H883" s="3"/>
      <c r="I883" s="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x14ac:dyDescent="0.3">
      <c r="A884" s="10"/>
      <c r="B884" s="9"/>
      <c r="C884" s="8"/>
      <c r="D884" s="3"/>
      <c r="E884" s="3"/>
      <c r="F884" s="3"/>
      <c r="G884" s="3"/>
      <c r="H884" s="3"/>
      <c r="I884" s="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x14ac:dyDescent="0.3">
      <c r="A885" s="10"/>
      <c r="B885" s="9"/>
      <c r="C885" s="8"/>
      <c r="D885" s="3"/>
      <c r="E885" s="3"/>
      <c r="F885" s="3"/>
      <c r="G885" s="3"/>
      <c r="H885" s="3"/>
      <c r="I885" s="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x14ac:dyDescent="0.3">
      <c r="A886" s="10"/>
      <c r="B886" s="9"/>
      <c r="C886" s="8"/>
      <c r="D886" s="3"/>
      <c r="E886" s="3"/>
      <c r="F886" s="3"/>
      <c r="G886" s="3"/>
      <c r="H886" s="3"/>
      <c r="I886" s="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x14ac:dyDescent="0.3">
      <c r="A887" s="10"/>
      <c r="B887" s="9"/>
      <c r="C887" s="8"/>
      <c r="D887" s="3"/>
      <c r="E887" s="3"/>
      <c r="F887" s="3"/>
      <c r="G887" s="3"/>
      <c r="H887" s="3"/>
      <c r="I887" s="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x14ac:dyDescent="0.3">
      <c r="A888" s="10"/>
      <c r="B888" s="9"/>
      <c r="C888" s="8"/>
      <c r="D888" s="3"/>
      <c r="E888" s="3"/>
      <c r="F888" s="3"/>
      <c r="G888" s="3"/>
      <c r="H888" s="3"/>
      <c r="I888" s="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x14ac:dyDescent="0.3">
      <c r="A889" s="10"/>
      <c r="B889" s="9"/>
      <c r="C889" s="8"/>
      <c r="D889" s="3"/>
      <c r="E889" s="3"/>
      <c r="F889" s="3"/>
      <c r="G889" s="3"/>
      <c r="H889" s="3"/>
      <c r="I889" s="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x14ac:dyDescent="0.3">
      <c r="A890" s="10"/>
      <c r="B890" s="9"/>
      <c r="C890" s="8"/>
      <c r="D890" s="3"/>
      <c r="E890" s="3"/>
      <c r="F890" s="3"/>
      <c r="G890" s="3"/>
      <c r="H890" s="3"/>
      <c r="I890" s="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x14ac:dyDescent="0.3">
      <c r="A891" s="10"/>
      <c r="B891" s="9"/>
      <c r="C891" s="8"/>
      <c r="D891" s="3"/>
      <c r="E891" s="3"/>
      <c r="F891" s="3"/>
      <c r="G891" s="3"/>
      <c r="H891" s="3"/>
      <c r="I891" s="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x14ac:dyDescent="0.3">
      <c r="A892" s="10"/>
      <c r="B892" s="9"/>
      <c r="C892" s="8"/>
      <c r="D892" s="3"/>
      <c r="E892" s="3"/>
      <c r="F892" s="3"/>
      <c r="G892" s="3"/>
      <c r="H892" s="3"/>
      <c r="I892" s="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x14ac:dyDescent="0.3">
      <c r="A893" s="10"/>
      <c r="B893" s="9"/>
      <c r="C893" s="8"/>
      <c r="D893" s="3"/>
      <c r="E893" s="2"/>
      <c r="F893" s="2"/>
      <c r="G893" s="2"/>
      <c r="H893" s="2"/>
      <c r="I893" s="7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x14ac:dyDescent="0.3">
      <c r="A894" s="10"/>
      <c r="B894" s="9"/>
      <c r="C894" s="8"/>
      <c r="D894" s="3"/>
      <c r="E894" s="3"/>
      <c r="F894" s="3"/>
      <c r="G894" s="3"/>
      <c r="H894" s="3"/>
      <c r="I894" s="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x14ac:dyDescent="0.3">
      <c r="A895" s="10"/>
      <c r="B895" s="9"/>
      <c r="C895" s="8"/>
      <c r="D895" s="3"/>
      <c r="E895" s="3"/>
      <c r="F895" s="3"/>
      <c r="G895" s="3"/>
      <c r="H895" s="3"/>
      <c r="I895" s="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x14ac:dyDescent="0.3">
      <c r="A896" s="10"/>
      <c r="B896" s="9"/>
      <c r="C896" s="8"/>
      <c r="D896" s="3"/>
      <c r="E896" s="3"/>
      <c r="F896" s="3"/>
      <c r="G896" s="3"/>
      <c r="H896" s="3"/>
      <c r="I896" s="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x14ac:dyDescent="0.3">
      <c r="A897" s="10"/>
      <c r="B897" s="9"/>
      <c r="C897" s="8"/>
      <c r="D897" s="3"/>
      <c r="E897" s="3"/>
      <c r="F897" s="3"/>
      <c r="G897" s="3"/>
      <c r="H897" s="3"/>
      <c r="I897" s="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x14ac:dyDescent="0.3">
      <c r="A898" s="10"/>
      <c r="B898" s="9"/>
      <c r="C898" s="8"/>
      <c r="D898" s="3"/>
      <c r="E898" s="3"/>
      <c r="F898" s="3"/>
      <c r="G898" s="3"/>
      <c r="H898" s="3"/>
      <c r="I898" s="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x14ac:dyDescent="0.3">
      <c r="A899" s="10"/>
      <c r="B899" s="9"/>
      <c r="C899" s="8"/>
      <c r="D899" s="3"/>
      <c r="E899" s="3"/>
      <c r="F899" s="3"/>
      <c r="G899" s="3"/>
      <c r="H899" s="3"/>
      <c r="I899" s="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x14ac:dyDescent="0.3">
      <c r="A900" s="10"/>
      <c r="B900" s="9"/>
      <c r="C900" s="8"/>
      <c r="D900" s="3"/>
      <c r="E900" s="3"/>
      <c r="F900" s="3"/>
      <c r="G900" s="3"/>
      <c r="H900" s="3"/>
      <c r="I900" s="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x14ac:dyDescent="0.3">
      <c r="A901" s="10"/>
      <c r="B901" s="9"/>
      <c r="C901" s="8"/>
      <c r="D901" s="3"/>
      <c r="E901" s="3"/>
      <c r="F901" s="3"/>
      <c r="G901" s="3"/>
      <c r="H901" s="3"/>
      <c r="I901" s="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x14ac:dyDescent="0.3">
      <c r="A902" s="10"/>
      <c r="B902" s="9"/>
      <c r="C902" s="8"/>
      <c r="D902" s="3"/>
      <c r="E902" s="3"/>
      <c r="F902" s="3"/>
      <c r="G902" s="3"/>
      <c r="H902" s="3"/>
      <c r="I902" s="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x14ac:dyDescent="0.3">
      <c r="A903" s="10"/>
      <c r="B903" s="9"/>
      <c r="C903" s="8"/>
      <c r="D903" s="3"/>
      <c r="E903" s="3"/>
      <c r="F903" s="3"/>
      <c r="G903" s="3"/>
      <c r="H903" s="3"/>
      <c r="I903" s="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x14ac:dyDescent="0.3">
      <c r="A904" s="10"/>
      <c r="B904" s="9"/>
      <c r="C904" s="8"/>
      <c r="D904" s="3"/>
      <c r="E904" s="3"/>
      <c r="F904" s="3"/>
      <c r="G904" s="3"/>
      <c r="H904" s="3"/>
      <c r="I904" s="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x14ac:dyDescent="0.3">
      <c r="A905" s="10"/>
      <c r="B905" s="9"/>
      <c r="C905" s="8"/>
      <c r="D905" s="3"/>
      <c r="E905" s="3"/>
      <c r="F905" s="3"/>
      <c r="G905" s="3"/>
      <c r="H905" s="3"/>
      <c r="I905" s="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x14ac:dyDescent="0.3">
      <c r="A906" s="10"/>
      <c r="B906" s="9"/>
      <c r="C906" s="8"/>
      <c r="D906" s="3"/>
      <c r="E906" s="3"/>
      <c r="F906" s="3"/>
      <c r="G906" s="3"/>
      <c r="H906" s="3"/>
      <c r="I906" s="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x14ac:dyDescent="0.3">
      <c r="A907" s="10"/>
      <c r="B907" s="9"/>
      <c r="C907" s="8"/>
      <c r="D907" s="3"/>
      <c r="E907" s="3"/>
      <c r="F907" s="3"/>
      <c r="G907" s="3"/>
      <c r="H907" s="3"/>
      <c r="I907" s="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x14ac:dyDescent="0.3">
      <c r="A908" s="10"/>
      <c r="B908" s="9"/>
      <c r="C908" s="8"/>
      <c r="D908" s="3"/>
      <c r="E908" s="3"/>
      <c r="F908" s="3"/>
      <c r="G908" s="3"/>
      <c r="H908" s="3"/>
      <c r="I908" s="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x14ac:dyDescent="0.3">
      <c r="A909" s="10"/>
      <c r="B909" s="9"/>
      <c r="C909" s="8"/>
      <c r="D909" s="3"/>
      <c r="E909" s="3"/>
      <c r="F909" s="3"/>
      <c r="G909" s="3"/>
      <c r="H909" s="3"/>
      <c r="I909" s="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x14ac:dyDescent="0.3">
      <c r="A910" s="10"/>
      <c r="B910" s="9"/>
      <c r="C910" s="8"/>
      <c r="D910" s="3"/>
      <c r="E910" s="3"/>
      <c r="F910" s="3"/>
      <c r="G910" s="3"/>
      <c r="H910" s="3"/>
      <c r="I910" s="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x14ac:dyDescent="0.3">
      <c r="A911" s="10"/>
      <c r="B911" s="9"/>
      <c r="C911" s="8"/>
      <c r="D911" s="3"/>
      <c r="E911" s="3"/>
      <c r="F911" s="3"/>
      <c r="G911" s="3"/>
      <c r="H911" s="3"/>
      <c r="I911" s="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x14ac:dyDescent="0.3">
      <c r="A912" s="10"/>
      <c r="B912" s="9"/>
      <c r="C912" s="8"/>
      <c r="D912" s="3"/>
      <c r="E912" s="3"/>
      <c r="F912" s="3"/>
      <c r="G912" s="3"/>
      <c r="H912" s="3"/>
      <c r="I912" s="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x14ac:dyDescent="0.3">
      <c r="A913" s="10"/>
      <c r="B913" s="9"/>
      <c r="C913" s="8"/>
      <c r="D913" s="3"/>
      <c r="E913" s="2"/>
      <c r="F913" s="2"/>
      <c r="G913" s="2"/>
      <c r="H913" s="2"/>
      <c r="I913" s="7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x14ac:dyDescent="0.3">
      <c r="A914" s="10"/>
      <c r="B914" s="9"/>
      <c r="C914" s="8"/>
      <c r="D914" s="3"/>
      <c r="E914" s="3"/>
      <c r="F914" s="3"/>
      <c r="G914" s="3"/>
      <c r="H914" s="3"/>
      <c r="I914" s="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x14ac:dyDescent="0.3">
      <c r="A915" s="10"/>
      <c r="B915" s="9"/>
      <c r="C915" s="8"/>
      <c r="D915" s="3"/>
      <c r="E915" s="3"/>
      <c r="F915" s="3"/>
      <c r="G915" s="3"/>
      <c r="H915" s="3"/>
      <c r="I915" s="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x14ac:dyDescent="0.3">
      <c r="A916" s="10"/>
      <c r="B916" s="9"/>
      <c r="C916" s="8"/>
      <c r="D916" s="3"/>
      <c r="E916" s="3"/>
      <c r="F916" s="3"/>
      <c r="G916" s="3"/>
      <c r="H916" s="3"/>
      <c r="I916" s="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x14ac:dyDescent="0.3">
      <c r="A917" s="10"/>
      <c r="B917" s="9"/>
      <c r="C917" s="8"/>
      <c r="D917" s="3"/>
      <c r="E917" s="3"/>
      <c r="F917" s="3"/>
      <c r="G917" s="3"/>
      <c r="H917" s="3"/>
      <c r="I917" s="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x14ac:dyDescent="0.3">
      <c r="A918" s="10"/>
      <c r="B918" s="9"/>
      <c r="C918" s="8"/>
      <c r="D918" s="3"/>
      <c r="E918" s="3"/>
      <c r="F918" s="3"/>
      <c r="G918" s="3"/>
      <c r="H918" s="3"/>
      <c r="I918" s="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x14ac:dyDescent="0.3">
      <c r="A919" s="10"/>
      <c r="B919" s="9"/>
      <c r="C919" s="8"/>
      <c r="D919" s="3"/>
      <c r="E919" s="3"/>
      <c r="F919" s="3"/>
      <c r="G919" s="3"/>
      <c r="H919" s="3"/>
      <c r="I919" s="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x14ac:dyDescent="0.3">
      <c r="A920" s="10"/>
      <c r="B920" s="9"/>
      <c r="C920" s="8"/>
      <c r="D920" s="3"/>
      <c r="E920" s="3"/>
      <c r="F920" s="3"/>
      <c r="G920" s="3"/>
      <c r="H920" s="3"/>
      <c r="I920" s="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x14ac:dyDescent="0.3">
      <c r="A921" s="10"/>
      <c r="B921" s="9"/>
      <c r="C921" s="8"/>
      <c r="D921" s="3"/>
      <c r="E921" s="3"/>
      <c r="F921" s="3"/>
      <c r="G921" s="3"/>
      <c r="H921" s="3"/>
      <c r="I921" s="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x14ac:dyDescent="0.3">
      <c r="A922" s="10"/>
      <c r="B922" s="9"/>
      <c r="C922" s="8"/>
      <c r="D922" s="3"/>
      <c r="E922" s="3"/>
      <c r="F922" s="3"/>
      <c r="G922" s="3"/>
      <c r="H922" s="3"/>
      <c r="I922" s="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x14ac:dyDescent="0.3">
      <c r="A923" s="10"/>
      <c r="B923" s="9"/>
      <c r="C923" s="8"/>
      <c r="D923" s="3"/>
      <c r="E923" s="3"/>
      <c r="F923" s="3"/>
      <c r="G923" s="3"/>
      <c r="H923" s="3"/>
      <c r="I923" s="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x14ac:dyDescent="0.3">
      <c r="A924" s="10"/>
      <c r="B924" s="9"/>
      <c r="C924" s="8"/>
      <c r="D924" s="3"/>
      <c r="E924" s="3"/>
      <c r="F924" s="3"/>
      <c r="G924" s="3"/>
      <c r="H924" s="3"/>
      <c r="I924" s="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x14ac:dyDescent="0.3">
      <c r="A925" s="10"/>
      <c r="B925" s="9"/>
      <c r="C925" s="8"/>
      <c r="D925" s="3"/>
      <c r="E925" s="3"/>
      <c r="F925" s="3"/>
      <c r="G925" s="3"/>
      <c r="H925" s="3"/>
      <c r="I925" s="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x14ac:dyDescent="0.3">
      <c r="A926" s="10"/>
      <c r="B926" s="9"/>
      <c r="C926" s="8"/>
      <c r="D926" s="3"/>
      <c r="E926" s="3"/>
      <c r="F926" s="3"/>
      <c r="G926" s="3"/>
      <c r="H926" s="3"/>
      <c r="I926" s="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x14ac:dyDescent="0.3">
      <c r="A927" s="10"/>
      <c r="B927" s="9"/>
      <c r="C927" s="8"/>
      <c r="D927" s="3"/>
      <c r="E927" s="3"/>
      <c r="F927" s="3"/>
      <c r="G927" s="3"/>
      <c r="H927" s="3"/>
      <c r="I927" s="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x14ac:dyDescent="0.3">
      <c r="A928" s="10"/>
      <c r="B928" s="9"/>
      <c r="C928" s="8"/>
      <c r="D928" s="3"/>
      <c r="E928" s="2"/>
      <c r="F928" s="2"/>
      <c r="G928" s="2"/>
      <c r="H928" s="2"/>
      <c r="I928" s="7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x14ac:dyDescent="0.3">
      <c r="A929" s="10"/>
      <c r="B929" s="9"/>
      <c r="C929" s="8"/>
      <c r="D929" s="3"/>
      <c r="E929" s="3"/>
      <c r="F929" s="3"/>
      <c r="G929" s="3"/>
      <c r="H929" s="3"/>
      <c r="I929" s="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x14ac:dyDescent="0.3">
      <c r="A930" s="10"/>
      <c r="B930" s="9"/>
      <c r="C930" s="8"/>
      <c r="D930" s="3"/>
      <c r="E930" s="3"/>
      <c r="F930" s="3"/>
      <c r="G930" s="3"/>
      <c r="H930" s="3"/>
      <c r="I930" s="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x14ac:dyDescent="0.3">
      <c r="A931" s="10"/>
      <c r="B931" s="9"/>
      <c r="C931" s="8"/>
      <c r="D931" s="3"/>
      <c r="E931" s="3"/>
      <c r="F931" s="3"/>
      <c r="G931" s="3"/>
      <c r="H931" s="3"/>
      <c r="I931" s="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x14ac:dyDescent="0.3">
      <c r="A932" s="10"/>
      <c r="B932" s="9"/>
      <c r="C932" s="8"/>
      <c r="D932" s="3"/>
      <c r="E932" s="3"/>
      <c r="F932" s="3"/>
      <c r="G932" s="3"/>
      <c r="H932" s="3"/>
      <c r="I932" s="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x14ac:dyDescent="0.3">
      <c r="A933" s="10"/>
      <c r="B933" s="9"/>
      <c r="C933" s="8"/>
      <c r="D933" s="3"/>
      <c r="E933" s="3"/>
      <c r="F933" s="3"/>
      <c r="G933" s="3"/>
      <c r="H933" s="3"/>
      <c r="I933" s="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x14ac:dyDescent="0.3">
      <c r="A934" s="10"/>
      <c r="B934" s="9"/>
      <c r="C934" s="8"/>
      <c r="D934" s="3"/>
      <c r="E934" s="3"/>
      <c r="F934" s="3"/>
      <c r="G934" s="3"/>
      <c r="H934" s="3"/>
      <c r="I934" s="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x14ac:dyDescent="0.3">
      <c r="A935" s="10"/>
      <c r="B935" s="9"/>
      <c r="C935" s="8"/>
      <c r="D935" s="3"/>
      <c r="E935" s="3"/>
      <c r="F935" s="3"/>
      <c r="G935" s="3"/>
      <c r="H935" s="3"/>
      <c r="I935" s="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x14ac:dyDescent="0.3">
      <c r="A936" s="10"/>
      <c r="B936" s="9"/>
      <c r="C936" s="8"/>
      <c r="D936" s="3"/>
      <c r="E936" s="3"/>
      <c r="F936" s="3"/>
      <c r="G936" s="3"/>
      <c r="H936" s="3"/>
      <c r="I936" s="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x14ac:dyDescent="0.3">
      <c r="A937" s="10"/>
      <c r="B937" s="9"/>
      <c r="C937" s="8"/>
      <c r="D937" s="3"/>
      <c r="E937" s="3"/>
      <c r="F937" s="3"/>
      <c r="G937" s="3"/>
      <c r="H937" s="3"/>
      <c r="I937" s="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x14ac:dyDescent="0.3">
      <c r="A938" s="10"/>
      <c r="B938" s="9"/>
      <c r="C938" s="8"/>
      <c r="D938" s="3"/>
      <c r="E938" s="3"/>
      <c r="F938" s="3"/>
      <c r="G938" s="3"/>
      <c r="H938" s="3"/>
      <c r="I938" s="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x14ac:dyDescent="0.3">
      <c r="A939" s="10"/>
      <c r="B939" s="9"/>
      <c r="C939" s="8"/>
      <c r="D939" s="3"/>
      <c r="E939" s="2"/>
      <c r="F939" s="2"/>
      <c r="G939" s="2"/>
      <c r="H939" s="2"/>
      <c r="I939" s="7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x14ac:dyDescent="0.3">
      <c r="A940" s="10"/>
      <c r="B940" s="9"/>
      <c r="C940" s="8"/>
      <c r="D940" s="3"/>
      <c r="E940" s="3"/>
      <c r="F940" s="3"/>
      <c r="G940" s="3"/>
      <c r="H940" s="3"/>
      <c r="I940" s="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x14ac:dyDescent="0.3">
      <c r="A941" s="10"/>
      <c r="B941" s="9"/>
      <c r="C941" s="8"/>
      <c r="D941" s="3"/>
      <c r="E941" s="3"/>
      <c r="F941" s="3"/>
      <c r="G941" s="3"/>
      <c r="H941" s="3"/>
      <c r="I941" s="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x14ac:dyDescent="0.3">
      <c r="A942" s="10"/>
      <c r="B942" s="9"/>
      <c r="C942" s="8"/>
      <c r="D942" s="3"/>
      <c r="E942" s="3"/>
      <c r="F942" s="3"/>
      <c r="G942" s="3"/>
      <c r="H942" s="3"/>
      <c r="I942" s="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x14ac:dyDescent="0.3">
      <c r="A943" s="10"/>
      <c r="B943" s="9"/>
      <c r="C943" s="8"/>
      <c r="D943" s="3"/>
      <c r="E943" s="3"/>
      <c r="F943" s="3"/>
      <c r="G943" s="3"/>
      <c r="H943" s="3"/>
      <c r="I943" s="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x14ac:dyDescent="0.3">
      <c r="A944" s="10"/>
      <c r="B944" s="9"/>
      <c r="C944" s="8"/>
      <c r="D944" s="3"/>
      <c r="E944" s="3"/>
      <c r="F944" s="3"/>
      <c r="G944" s="3"/>
      <c r="H944" s="3"/>
      <c r="I944" s="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x14ac:dyDescent="0.3">
      <c r="A945" s="10"/>
      <c r="B945" s="9"/>
      <c r="C945" s="8"/>
      <c r="D945" s="3"/>
      <c r="E945" s="3"/>
      <c r="F945" s="3"/>
      <c r="G945" s="3"/>
      <c r="H945" s="3"/>
      <c r="I945" s="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x14ac:dyDescent="0.3">
      <c r="A946" s="10"/>
      <c r="B946" s="9"/>
      <c r="C946" s="8"/>
      <c r="D946" s="3"/>
      <c r="E946" s="3"/>
      <c r="F946" s="3"/>
      <c r="G946" s="3"/>
      <c r="H946" s="3"/>
      <c r="I946" s="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x14ac:dyDescent="0.3">
      <c r="A947" s="10"/>
      <c r="B947" s="9"/>
      <c r="C947" s="8"/>
      <c r="D947" s="3"/>
      <c r="E947" s="3"/>
      <c r="F947" s="3"/>
      <c r="G947" s="3"/>
      <c r="H947" s="3"/>
      <c r="I947" s="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x14ac:dyDescent="0.3">
      <c r="A948" s="10"/>
      <c r="B948" s="9"/>
      <c r="C948" s="8"/>
      <c r="D948" s="3"/>
      <c r="E948" s="3"/>
      <c r="F948" s="3"/>
      <c r="G948" s="3"/>
      <c r="H948" s="3"/>
      <c r="I948" s="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x14ac:dyDescent="0.3">
      <c r="A949" s="10"/>
      <c r="B949" s="9"/>
      <c r="C949" s="8"/>
      <c r="D949" s="3"/>
      <c r="E949" s="3"/>
      <c r="F949" s="3"/>
      <c r="G949" s="3"/>
      <c r="H949" s="3"/>
      <c r="I949" s="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x14ac:dyDescent="0.3">
      <c r="A950" s="10"/>
      <c r="B950" s="9"/>
      <c r="C950" s="8"/>
      <c r="D950" s="3"/>
      <c r="E950" s="3"/>
      <c r="F950" s="3"/>
      <c r="G950" s="3"/>
      <c r="H950" s="3"/>
      <c r="I950" s="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x14ac:dyDescent="0.3">
      <c r="A951" s="10"/>
      <c r="B951" s="9"/>
      <c r="C951" s="8"/>
      <c r="D951" s="3"/>
      <c r="E951" s="3"/>
      <c r="F951" s="3"/>
      <c r="G951" s="3"/>
      <c r="H951" s="3"/>
      <c r="I951" s="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x14ac:dyDescent="0.3">
      <c r="A952" s="10"/>
      <c r="B952" s="9"/>
      <c r="C952" s="8"/>
      <c r="D952" s="3"/>
      <c r="E952" s="3"/>
      <c r="F952" s="3"/>
      <c r="G952" s="3"/>
      <c r="H952" s="3"/>
      <c r="I952" s="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x14ac:dyDescent="0.3">
      <c r="A953" s="10"/>
      <c r="B953" s="9"/>
      <c r="C953" s="8"/>
      <c r="D953" s="3"/>
      <c r="E953" s="3"/>
      <c r="F953" s="3"/>
      <c r="G953" s="3"/>
      <c r="H953" s="3"/>
      <c r="I953" s="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x14ac:dyDescent="0.3">
      <c r="A954" s="10"/>
      <c r="B954" s="9"/>
      <c r="C954" s="8"/>
      <c r="D954" s="3"/>
      <c r="E954" s="3"/>
      <c r="F954" s="3"/>
      <c r="G954" s="3"/>
      <c r="H954" s="3"/>
      <c r="I954" s="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x14ac:dyDescent="0.3">
      <c r="A955" s="10"/>
      <c r="B955" s="9"/>
      <c r="C955" s="8"/>
      <c r="D955" s="3"/>
      <c r="E955" s="3"/>
      <c r="F955" s="3"/>
      <c r="G955" s="3"/>
      <c r="H955" s="3"/>
      <c r="I955" s="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x14ac:dyDescent="0.3">
      <c r="A956" s="10"/>
      <c r="B956" s="9"/>
      <c r="C956" s="8"/>
      <c r="D956" s="3"/>
      <c r="E956" s="3"/>
      <c r="F956" s="3"/>
      <c r="G956" s="3"/>
      <c r="H956" s="3"/>
      <c r="I956" s="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x14ac:dyDescent="0.3">
      <c r="A957" s="10"/>
      <c r="B957" s="9"/>
      <c r="C957" s="8"/>
      <c r="D957" s="3"/>
      <c r="E957" s="3"/>
      <c r="F957" s="3"/>
      <c r="G957" s="3"/>
      <c r="H957" s="3"/>
      <c r="I957" s="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x14ac:dyDescent="0.3">
      <c r="A958" s="10"/>
      <c r="B958" s="9"/>
      <c r="C958" s="8"/>
      <c r="D958" s="3"/>
      <c r="E958" s="3"/>
      <c r="F958" s="3"/>
      <c r="G958" s="3"/>
      <c r="H958" s="3"/>
      <c r="I958" s="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x14ac:dyDescent="0.3">
      <c r="A959" s="10"/>
      <c r="B959" s="9"/>
      <c r="C959" s="8"/>
      <c r="D959" s="3"/>
      <c r="E959" s="3"/>
      <c r="F959" s="3"/>
      <c r="G959" s="3"/>
      <c r="H959" s="3"/>
      <c r="I959" s="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x14ac:dyDescent="0.3">
      <c r="A960" s="10"/>
      <c r="B960" s="9"/>
      <c r="C960" s="8"/>
      <c r="D960" s="3"/>
      <c r="E960" s="3"/>
      <c r="F960" s="3"/>
      <c r="G960" s="3"/>
      <c r="H960" s="3"/>
      <c r="I960" s="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x14ac:dyDescent="0.3">
      <c r="A961" s="10"/>
      <c r="B961" s="9"/>
      <c r="C961" s="8"/>
      <c r="D961" s="3"/>
      <c r="E961" s="3"/>
      <c r="F961" s="3"/>
      <c r="G961" s="3"/>
      <c r="H961" s="3"/>
      <c r="I961" s="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x14ac:dyDescent="0.3">
      <c r="A962" s="10"/>
      <c r="B962" s="9"/>
      <c r="C962" s="8"/>
      <c r="D962" s="3"/>
      <c r="E962" s="3"/>
      <c r="F962" s="3"/>
      <c r="G962" s="3"/>
      <c r="H962" s="3"/>
      <c r="I962" s="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x14ac:dyDescent="0.3">
      <c r="A963" s="10"/>
      <c r="B963" s="9"/>
      <c r="C963" s="8"/>
      <c r="D963" s="3"/>
      <c r="E963" s="3"/>
      <c r="F963" s="3"/>
      <c r="G963" s="3"/>
      <c r="H963" s="3"/>
      <c r="I963" s="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x14ac:dyDescent="0.3">
      <c r="A964" s="10"/>
      <c r="B964" s="9"/>
      <c r="C964" s="8"/>
      <c r="D964" s="3"/>
      <c r="E964" s="3"/>
      <c r="F964" s="3"/>
      <c r="G964" s="3"/>
      <c r="H964" s="3"/>
      <c r="I964" s="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x14ac:dyDescent="0.3">
      <c r="A965" s="10"/>
      <c r="B965" s="9"/>
      <c r="C965" s="8"/>
      <c r="D965" s="3"/>
      <c r="E965" s="3"/>
      <c r="F965" s="3"/>
      <c r="G965" s="3"/>
      <c r="H965" s="3"/>
      <c r="I965" s="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x14ac:dyDescent="0.3">
      <c r="A966" s="10"/>
      <c r="B966" s="9"/>
      <c r="C966" s="8"/>
      <c r="D966" s="3"/>
      <c r="E966" s="2"/>
      <c r="F966" s="2"/>
      <c r="G966" s="2"/>
      <c r="H966" s="2"/>
      <c r="I966" s="7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x14ac:dyDescent="0.3">
      <c r="A967" s="10"/>
      <c r="B967" s="9"/>
      <c r="C967" s="8"/>
      <c r="D967" s="3"/>
      <c r="E967" s="2"/>
      <c r="F967" s="2"/>
      <c r="G967" s="2"/>
      <c r="H967" s="2"/>
      <c r="I967" s="7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x14ac:dyDescent="0.3">
      <c r="A968" s="10"/>
      <c r="B968" s="9"/>
      <c r="C968" s="8"/>
      <c r="D968" s="3"/>
      <c r="E968" s="2"/>
      <c r="F968" s="2"/>
      <c r="G968" s="2"/>
      <c r="H968" s="2"/>
      <c r="I968" s="7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x14ac:dyDescent="0.3">
      <c r="A969" s="10"/>
      <c r="B969" s="9"/>
      <c r="C969" s="8"/>
      <c r="D969" s="3"/>
      <c r="E969" s="2"/>
      <c r="F969" s="2"/>
      <c r="G969" s="2"/>
      <c r="H969" s="2"/>
      <c r="I969" s="7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x14ac:dyDescent="0.3">
      <c r="A970" s="10"/>
      <c r="B970" s="9"/>
      <c r="C970" s="8"/>
      <c r="D970" s="3"/>
      <c r="E970" s="2"/>
      <c r="F970" s="2"/>
      <c r="G970" s="2"/>
      <c r="H970" s="2"/>
      <c r="I970" s="7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x14ac:dyDescent="0.3">
      <c r="A971" s="10"/>
      <c r="B971" s="9"/>
      <c r="C971" s="8"/>
      <c r="D971" s="3"/>
      <c r="E971" s="3"/>
      <c r="F971" s="3"/>
      <c r="G971" s="3"/>
      <c r="H971" s="3"/>
      <c r="I971" s="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x14ac:dyDescent="0.3">
      <c r="A972" s="10"/>
      <c r="B972" s="9"/>
      <c r="C972" s="8"/>
      <c r="D972" s="3"/>
      <c r="E972" s="3"/>
      <c r="F972" s="3"/>
      <c r="G972" s="3"/>
      <c r="H972" s="3"/>
      <c r="I972" s="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x14ac:dyDescent="0.3">
      <c r="A973" s="10"/>
      <c r="B973" s="9"/>
      <c r="C973" s="8"/>
      <c r="D973" s="3"/>
      <c r="E973" s="3"/>
      <c r="F973" s="3"/>
      <c r="G973" s="3"/>
      <c r="H973" s="3"/>
      <c r="I973" s="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x14ac:dyDescent="0.3">
      <c r="A974" s="10"/>
      <c r="B974" s="9"/>
      <c r="C974" s="8"/>
      <c r="D974" s="3"/>
      <c r="E974" s="3"/>
      <c r="F974" s="3"/>
      <c r="G974" s="3"/>
      <c r="H974" s="3"/>
      <c r="I974" s="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x14ac:dyDescent="0.3">
      <c r="A975" s="10"/>
      <c r="B975" s="9"/>
      <c r="C975" s="8"/>
      <c r="D975" s="3"/>
      <c r="E975" s="3"/>
      <c r="F975" s="3"/>
      <c r="G975" s="3"/>
      <c r="H975" s="3"/>
      <c r="I975" s="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x14ac:dyDescent="0.3">
      <c r="A976" s="10"/>
      <c r="B976" s="9"/>
      <c r="C976" s="8"/>
      <c r="D976" s="3"/>
      <c r="E976" s="2"/>
      <c r="F976" s="2"/>
      <c r="G976" s="2"/>
      <c r="H976" s="2"/>
      <c r="I976" s="7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x14ac:dyDescent="0.3">
      <c r="A977" s="10"/>
      <c r="B977" s="9"/>
      <c r="C977" s="8"/>
      <c r="D977" s="3"/>
      <c r="E977" s="3"/>
      <c r="F977" s="3"/>
      <c r="G977" s="3"/>
      <c r="H977" s="3"/>
      <c r="I977" s="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x14ac:dyDescent="0.3">
      <c r="A978" s="10"/>
      <c r="B978" s="9"/>
      <c r="C978" s="8"/>
      <c r="D978" s="3"/>
      <c r="E978" s="3"/>
      <c r="F978" s="3"/>
      <c r="G978" s="3"/>
      <c r="H978" s="3"/>
      <c r="I978" s="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x14ac:dyDescent="0.3">
      <c r="A979" s="10"/>
      <c r="B979" s="9"/>
      <c r="C979" s="8"/>
      <c r="D979" s="3"/>
      <c r="E979" s="3"/>
      <c r="F979" s="3"/>
      <c r="G979" s="3"/>
      <c r="H979" s="3"/>
      <c r="I979" s="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x14ac:dyDescent="0.3">
      <c r="A980" s="10"/>
      <c r="B980" s="9"/>
      <c r="C980" s="8"/>
      <c r="D980" s="3"/>
      <c r="E980" s="3"/>
      <c r="F980" s="3"/>
      <c r="G980" s="3"/>
      <c r="H980" s="3"/>
      <c r="I980" s="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x14ac:dyDescent="0.3">
      <c r="A981" s="10"/>
      <c r="B981" s="9"/>
      <c r="C981" s="8"/>
      <c r="D981" s="3"/>
      <c r="E981" s="3"/>
      <c r="F981" s="3"/>
      <c r="G981" s="3"/>
      <c r="H981" s="3"/>
      <c r="I981" s="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x14ac:dyDescent="0.3">
      <c r="A982" s="10"/>
      <c r="B982" s="9"/>
      <c r="C982" s="8"/>
      <c r="D982" s="3"/>
      <c r="E982" s="3"/>
      <c r="F982" s="3"/>
      <c r="G982" s="3"/>
      <c r="H982" s="3"/>
      <c r="I982" s="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x14ac:dyDescent="0.3">
      <c r="A983" s="10"/>
      <c r="B983" s="9"/>
      <c r="C983" s="8"/>
      <c r="D983" s="3"/>
      <c r="E983" s="3"/>
      <c r="F983" s="3"/>
      <c r="G983" s="3"/>
      <c r="H983" s="3"/>
      <c r="I983" s="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x14ac:dyDescent="0.3">
      <c r="A984" s="10"/>
      <c r="B984" s="9"/>
      <c r="C984" s="8"/>
      <c r="D984" s="3"/>
      <c r="E984" s="3"/>
      <c r="F984" s="3"/>
      <c r="G984" s="3"/>
      <c r="H984" s="3"/>
      <c r="I984" s="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x14ac:dyDescent="0.3">
      <c r="A985" s="10"/>
      <c r="B985" s="9"/>
      <c r="C985" s="8"/>
      <c r="D985" s="3"/>
      <c r="E985" s="3"/>
      <c r="F985" s="3"/>
      <c r="G985" s="3"/>
      <c r="H985" s="3"/>
      <c r="I985" s="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x14ac:dyDescent="0.3">
      <c r="A986" s="10"/>
      <c r="B986" s="9"/>
      <c r="C986" s="8"/>
      <c r="D986" s="3"/>
      <c r="E986" s="3"/>
      <c r="F986" s="3"/>
      <c r="G986" s="3"/>
      <c r="H986" s="3"/>
      <c r="I986" s="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x14ac:dyDescent="0.3">
      <c r="A987" s="10"/>
      <c r="B987" s="9"/>
      <c r="C987" s="8"/>
      <c r="D987" s="3"/>
      <c r="E987" s="3"/>
      <c r="F987" s="3"/>
      <c r="G987" s="3"/>
      <c r="H987" s="3"/>
      <c r="I987" s="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x14ac:dyDescent="0.3">
      <c r="A988" s="10"/>
      <c r="B988" s="9"/>
      <c r="C988" s="8"/>
      <c r="D988" s="3"/>
      <c r="E988" s="3"/>
      <c r="F988" s="3"/>
      <c r="G988" s="3"/>
      <c r="H988" s="3"/>
      <c r="I988" s="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x14ac:dyDescent="0.3">
      <c r="A989" s="10"/>
      <c r="B989" s="9"/>
      <c r="C989" s="8"/>
      <c r="D989" s="3"/>
      <c r="E989" s="3"/>
      <c r="F989" s="3"/>
      <c r="G989" s="3"/>
      <c r="H989" s="3"/>
      <c r="I989" s="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x14ac:dyDescent="0.3">
      <c r="A990" s="10"/>
      <c r="B990" s="9"/>
      <c r="C990" s="8"/>
      <c r="D990" s="3"/>
      <c r="E990" s="3"/>
      <c r="F990" s="3"/>
      <c r="G990" s="3"/>
      <c r="H990" s="3"/>
      <c r="I990" s="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x14ac:dyDescent="0.3">
      <c r="A991" s="10"/>
      <c r="B991" s="9"/>
      <c r="C991" s="8"/>
      <c r="D991" s="3"/>
      <c r="E991" s="3"/>
      <c r="F991" s="3"/>
      <c r="G991" s="3"/>
      <c r="H991" s="3"/>
      <c r="I991" s="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x14ac:dyDescent="0.3">
      <c r="A992" s="10"/>
      <c r="B992" s="9"/>
      <c r="C992" s="8"/>
      <c r="D992" s="3"/>
      <c r="E992" s="3"/>
      <c r="F992" s="3"/>
      <c r="G992" s="3"/>
      <c r="H992" s="3"/>
      <c r="I992" s="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x14ac:dyDescent="0.3">
      <c r="A993" s="10"/>
      <c r="B993" s="9"/>
      <c r="C993" s="8"/>
      <c r="D993" s="3"/>
      <c r="E993" s="3"/>
      <c r="F993" s="3"/>
      <c r="G993" s="3"/>
      <c r="H993" s="3"/>
      <c r="I993" s="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x14ac:dyDescent="0.3">
      <c r="A994" s="10"/>
      <c r="B994" s="9"/>
      <c r="C994" s="8"/>
      <c r="D994" s="3"/>
      <c r="E994" s="3"/>
      <c r="F994" s="3"/>
      <c r="G994" s="3"/>
      <c r="H994" s="3"/>
      <c r="I994" s="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x14ac:dyDescent="0.3">
      <c r="A995" s="10"/>
      <c r="B995" s="9"/>
      <c r="C995" s="8"/>
      <c r="D995" s="3"/>
      <c r="E995" s="3"/>
      <c r="F995" s="3"/>
      <c r="G995" s="3"/>
      <c r="H995" s="3"/>
      <c r="I995" s="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x14ac:dyDescent="0.3">
      <c r="A996" s="10"/>
      <c r="B996" s="9"/>
      <c r="C996" s="8"/>
      <c r="D996" s="3"/>
      <c r="E996" s="3"/>
      <c r="F996" s="3"/>
      <c r="G996" s="3"/>
      <c r="H996" s="3"/>
      <c r="I996" s="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x14ac:dyDescent="0.3">
      <c r="A997" s="10"/>
      <c r="B997" s="9"/>
      <c r="C997" s="8"/>
      <c r="D997" s="3"/>
      <c r="E997" s="3"/>
      <c r="F997" s="3"/>
      <c r="G997" s="3"/>
      <c r="H997" s="3"/>
      <c r="I997" s="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x14ac:dyDescent="0.3">
      <c r="A998" s="10"/>
      <c r="B998" s="9"/>
      <c r="C998" s="8"/>
      <c r="D998" s="3"/>
      <c r="E998" s="3"/>
      <c r="F998" s="3"/>
      <c r="G998" s="3"/>
      <c r="H998" s="3"/>
      <c r="I998" s="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x14ac:dyDescent="0.3">
      <c r="A999" s="10"/>
      <c r="B999" s="9"/>
      <c r="C999" s="8"/>
      <c r="D999" s="3"/>
      <c r="E999" s="3"/>
      <c r="F999" s="3"/>
      <c r="G999" s="3"/>
      <c r="H999" s="3"/>
      <c r="I999" s="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x14ac:dyDescent="0.3">
      <c r="A1000" s="10"/>
      <c r="B1000" s="9"/>
      <c r="C1000" s="8"/>
      <c r="D1000" s="3"/>
      <c r="E1000" s="3"/>
      <c r="F1000" s="3"/>
      <c r="G1000" s="3"/>
      <c r="H1000" s="3"/>
      <c r="I1000" s="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 x14ac:dyDescent="0.3">
      <c r="A1001" s="10"/>
      <c r="B1001" s="9"/>
      <c r="C1001" s="8"/>
      <c r="D1001" s="3"/>
      <c r="E1001" s="3"/>
      <c r="F1001" s="3"/>
      <c r="G1001" s="3"/>
      <c r="H1001" s="3"/>
      <c r="I1001" s="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 x14ac:dyDescent="0.3">
      <c r="A1002" s="10"/>
      <c r="B1002" s="9"/>
      <c r="C1002" s="8"/>
      <c r="D1002" s="3"/>
      <c r="E1002" s="3"/>
      <c r="F1002" s="3"/>
      <c r="G1002" s="3"/>
      <c r="H1002" s="3"/>
      <c r="I1002" s="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 x14ac:dyDescent="0.3">
      <c r="A1003" s="10"/>
      <c r="B1003" s="9"/>
      <c r="C1003" s="8"/>
      <c r="D1003" s="3"/>
      <c r="E1003" s="2"/>
      <c r="F1003" s="2"/>
      <c r="G1003" s="2"/>
      <c r="H1003" s="2"/>
      <c r="I1003" s="7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 spans="1:33" x14ac:dyDescent="0.3">
      <c r="A1004" s="10"/>
      <c r="B1004" s="9"/>
      <c r="C1004" s="8"/>
      <c r="D1004" s="3"/>
      <c r="E1004" s="3"/>
      <c r="F1004" s="3"/>
      <c r="G1004" s="3"/>
      <c r="H1004" s="3"/>
      <c r="I1004" s="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1:33" x14ac:dyDescent="0.3">
      <c r="A1005" s="10"/>
      <c r="B1005" s="9"/>
      <c r="C1005" s="8"/>
      <c r="D1005" s="3"/>
      <c r="E1005" s="3"/>
      <c r="F1005" s="3"/>
      <c r="G1005" s="3"/>
      <c r="H1005" s="3"/>
      <c r="I1005" s="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3" x14ac:dyDescent="0.3">
      <c r="A1006" s="10"/>
      <c r="B1006" s="9"/>
      <c r="C1006" s="8"/>
      <c r="D1006" s="3"/>
      <c r="E1006" s="3"/>
      <c r="F1006" s="3"/>
      <c r="G1006" s="3"/>
      <c r="H1006" s="3"/>
      <c r="I1006" s="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1:33" x14ac:dyDescent="0.3">
      <c r="A1007" s="10"/>
      <c r="B1007" s="9"/>
      <c r="C1007" s="8"/>
      <c r="D1007" s="3"/>
      <c r="E1007" s="3"/>
      <c r="F1007" s="3"/>
      <c r="G1007" s="3"/>
      <c r="H1007" s="3"/>
      <c r="I1007" s="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3" x14ac:dyDescent="0.3">
      <c r="A1008" s="10"/>
      <c r="B1008" s="9"/>
      <c r="C1008" s="8"/>
      <c r="D1008" s="3"/>
      <c r="E1008" s="3"/>
      <c r="F1008" s="3"/>
      <c r="G1008" s="3"/>
      <c r="H1008" s="3"/>
      <c r="I1008" s="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1:33" x14ac:dyDescent="0.3">
      <c r="A1009" s="10"/>
      <c r="B1009" s="9"/>
      <c r="C1009" s="8"/>
      <c r="D1009" s="3"/>
      <c r="E1009" s="3"/>
      <c r="F1009" s="3"/>
      <c r="G1009" s="3"/>
      <c r="H1009" s="3"/>
      <c r="I1009" s="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1:33" x14ac:dyDescent="0.3">
      <c r="A1010" s="10"/>
      <c r="B1010" s="9"/>
      <c r="C1010" s="8"/>
      <c r="D1010" s="3"/>
      <c r="E1010" s="3"/>
      <c r="F1010" s="3"/>
      <c r="G1010" s="3"/>
      <c r="H1010" s="3"/>
      <c r="I1010" s="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1:33" x14ac:dyDescent="0.3">
      <c r="A1011" s="10"/>
      <c r="B1011" s="9"/>
      <c r="C1011" s="8"/>
      <c r="D1011" s="3"/>
      <c r="E1011" s="3"/>
      <c r="F1011" s="3"/>
      <c r="G1011" s="3"/>
      <c r="H1011" s="3"/>
      <c r="I1011" s="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spans="1:33" x14ac:dyDescent="0.3">
      <c r="A1012" s="10"/>
      <c r="B1012" s="9"/>
      <c r="C1012" s="8"/>
      <c r="D1012" s="3"/>
      <c r="E1012" s="3"/>
      <c r="F1012" s="3"/>
      <c r="G1012" s="3"/>
      <c r="H1012" s="3"/>
      <c r="I1012" s="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spans="1:33" x14ac:dyDescent="0.3">
      <c r="A1013" s="10"/>
      <c r="B1013" s="9"/>
      <c r="C1013" s="8"/>
      <c r="D1013" s="3"/>
      <c r="E1013" s="3"/>
      <c r="F1013" s="3"/>
      <c r="G1013" s="3"/>
      <c r="H1013" s="3"/>
      <c r="I1013" s="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spans="1:33" x14ac:dyDescent="0.3">
      <c r="A1014" s="10"/>
      <c r="B1014" s="9"/>
      <c r="C1014" s="8"/>
      <c r="D1014" s="3"/>
      <c r="E1014" s="3"/>
      <c r="F1014" s="3"/>
      <c r="G1014" s="3"/>
      <c r="H1014" s="3"/>
      <c r="I1014" s="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spans="1:33" x14ac:dyDescent="0.3">
      <c r="A1015" s="10"/>
      <c r="B1015" s="9"/>
      <c r="C1015" s="8"/>
      <c r="D1015" s="3"/>
      <c r="E1015" s="3"/>
      <c r="F1015" s="3"/>
      <c r="G1015" s="3"/>
      <c r="H1015" s="3"/>
      <c r="I1015" s="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spans="1:33" x14ac:dyDescent="0.3">
      <c r="A1016" s="10"/>
      <c r="B1016" s="9"/>
      <c r="C1016" s="8"/>
      <c r="D1016" s="3"/>
      <c r="E1016" s="3"/>
      <c r="F1016" s="3"/>
      <c r="G1016" s="3"/>
      <c r="H1016" s="3"/>
      <c r="I1016" s="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spans="1:33" x14ac:dyDescent="0.3">
      <c r="A1017" s="10"/>
      <c r="B1017" s="9"/>
      <c r="C1017" s="8"/>
      <c r="D1017" s="3"/>
      <c r="E1017" s="3"/>
      <c r="F1017" s="3"/>
      <c r="G1017" s="3"/>
      <c r="H1017" s="3"/>
      <c r="I1017" s="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spans="1:33" x14ac:dyDescent="0.3">
      <c r="A1018" s="10"/>
      <c r="B1018" s="9"/>
      <c r="C1018" s="8"/>
      <c r="D1018" s="3"/>
      <c r="E1018" s="3"/>
      <c r="F1018" s="3"/>
      <c r="G1018" s="3"/>
      <c r="H1018" s="3"/>
      <c r="I1018" s="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spans="1:33" x14ac:dyDescent="0.3">
      <c r="A1019" s="10"/>
      <c r="B1019" s="9"/>
      <c r="C1019" s="8"/>
      <c r="D1019" s="3"/>
      <c r="E1019" s="3"/>
      <c r="F1019" s="3"/>
      <c r="G1019" s="3"/>
      <c r="H1019" s="3"/>
      <c r="I1019" s="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spans="1:33" x14ac:dyDescent="0.3">
      <c r="A1020" s="10"/>
      <c r="B1020" s="9"/>
      <c r="C1020" s="8"/>
      <c r="D1020" s="3"/>
      <c r="E1020" s="3"/>
      <c r="F1020" s="3"/>
      <c r="G1020" s="3"/>
      <c r="H1020" s="3"/>
      <c r="I1020" s="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spans="1:33" x14ac:dyDescent="0.3">
      <c r="A1021" s="10"/>
      <c r="B1021" s="9"/>
      <c r="C1021" s="8"/>
      <c r="D1021" s="3"/>
      <c r="E1021" s="3"/>
      <c r="F1021" s="3"/>
      <c r="G1021" s="3"/>
      <c r="H1021" s="3"/>
      <c r="I1021" s="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spans="1:33" x14ac:dyDescent="0.3">
      <c r="A1022" s="10"/>
      <c r="B1022" s="9"/>
      <c r="C1022" s="8"/>
      <c r="D1022" s="3"/>
      <c r="E1022" s="3"/>
      <c r="F1022" s="3"/>
      <c r="G1022" s="3"/>
      <c r="H1022" s="3"/>
      <c r="I1022" s="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spans="1:33" x14ac:dyDescent="0.3">
      <c r="A1023" s="10"/>
      <c r="B1023" s="9"/>
      <c r="C1023" s="8"/>
      <c r="D1023" s="3"/>
      <c r="E1023" s="3"/>
      <c r="F1023" s="3"/>
      <c r="G1023" s="3"/>
      <c r="H1023" s="3"/>
      <c r="I1023" s="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spans="1:33" x14ac:dyDescent="0.3">
      <c r="A1024" s="10"/>
      <c r="B1024" s="9"/>
      <c r="C1024" s="8"/>
      <c r="D1024" s="3"/>
      <c r="E1024" s="3"/>
      <c r="F1024" s="3"/>
      <c r="G1024" s="3"/>
      <c r="H1024" s="3"/>
      <c r="I1024" s="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spans="1:33" x14ac:dyDescent="0.3">
      <c r="A1025" s="10"/>
      <c r="B1025" s="9"/>
      <c r="C1025" s="8"/>
      <c r="D1025" s="3"/>
      <c r="E1025" s="3"/>
      <c r="F1025" s="3"/>
      <c r="G1025" s="3"/>
      <c r="H1025" s="3"/>
      <c r="I1025" s="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spans="1:33" x14ac:dyDescent="0.3">
      <c r="A1026" s="10"/>
      <c r="B1026" s="9"/>
      <c r="C1026" s="8"/>
      <c r="D1026" s="3"/>
      <c r="E1026" s="3"/>
      <c r="F1026" s="3"/>
      <c r="G1026" s="3"/>
      <c r="H1026" s="3"/>
      <c r="I1026" s="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spans="1:33" x14ac:dyDescent="0.3">
      <c r="A1027" s="10"/>
      <c r="B1027" s="9"/>
      <c r="C1027" s="8"/>
      <c r="D1027" s="3"/>
      <c r="E1027" s="3"/>
      <c r="F1027" s="3"/>
      <c r="G1027" s="3"/>
      <c r="H1027" s="3"/>
      <c r="I1027" s="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spans="1:33" x14ac:dyDescent="0.3">
      <c r="A1028" s="10"/>
      <c r="B1028" s="9"/>
      <c r="C1028" s="8"/>
      <c r="D1028" s="3"/>
      <c r="E1028" s="3"/>
      <c r="F1028" s="3"/>
      <c r="G1028" s="3"/>
      <c r="H1028" s="3"/>
      <c r="I1028" s="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spans="1:33" x14ac:dyDescent="0.3">
      <c r="A1029" s="10"/>
      <c r="B1029" s="9"/>
      <c r="C1029" s="8"/>
      <c r="D1029" s="3"/>
      <c r="E1029" s="3"/>
      <c r="F1029" s="3"/>
      <c r="G1029" s="3"/>
      <c r="H1029" s="3"/>
      <c r="I1029" s="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spans="1:33" x14ac:dyDescent="0.3">
      <c r="A1030" s="10"/>
      <c r="B1030" s="9"/>
      <c r="C1030" s="8"/>
      <c r="D1030" s="3"/>
      <c r="E1030" s="3"/>
      <c r="F1030" s="3"/>
      <c r="G1030" s="3"/>
      <c r="H1030" s="3"/>
      <c r="I1030" s="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spans="1:33" x14ac:dyDescent="0.3">
      <c r="A1031" s="10"/>
      <c r="B1031" s="9"/>
      <c r="C1031" s="8"/>
      <c r="D1031" s="3"/>
      <c r="E1031" s="2"/>
      <c r="F1031" s="2"/>
      <c r="G1031" s="2"/>
      <c r="H1031" s="2"/>
      <c r="I1031" s="7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</row>
    <row r="1032" spans="1:33" x14ac:dyDescent="0.3">
      <c r="A1032" s="10"/>
      <c r="B1032" s="9"/>
      <c r="C1032" s="8"/>
      <c r="D1032" s="3"/>
      <c r="E1032" s="3"/>
      <c r="F1032" s="3"/>
      <c r="G1032" s="3"/>
      <c r="H1032" s="3"/>
      <c r="I1032" s="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spans="1:33" x14ac:dyDescent="0.3">
      <c r="A1033" s="10"/>
      <c r="B1033" s="9"/>
      <c r="C1033" s="8"/>
      <c r="D1033" s="3"/>
      <c r="E1033" s="3"/>
      <c r="F1033" s="3"/>
      <c r="G1033" s="3"/>
      <c r="H1033" s="3"/>
      <c r="I1033" s="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spans="1:33" x14ac:dyDescent="0.3">
      <c r="A1034" s="10"/>
      <c r="B1034" s="9"/>
      <c r="C1034" s="8"/>
      <c r="D1034" s="3"/>
      <c r="E1034" s="3"/>
      <c r="F1034" s="3"/>
      <c r="G1034" s="3"/>
      <c r="H1034" s="3"/>
      <c r="I1034" s="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spans="1:33" x14ac:dyDescent="0.3">
      <c r="A1035" s="10"/>
      <c r="B1035" s="9"/>
      <c r="C1035" s="8"/>
      <c r="D1035" s="3"/>
      <c r="E1035" s="3"/>
      <c r="F1035" s="3"/>
      <c r="G1035" s="3"/>
      <c r="H1035" s="3"/>
      <c r="I1035" s="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spans="1:33" x14ac:dyDescent="0.3">
      <c r="A1036" s="10"/>
      <c r="B1036" s="9"/>
      <c r="C1036" s="8"/>
      <c r="D1036" s="3"/>
      <c r="E1036" s="2"/>
      <c r="F1036" s="2"/>
      <c r="G1036" s="2"/>
      <c r="H1036" s="2"/>
      <c r="I1036" s="7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</row>
    <row r="1037" spans="1:33" x14ac:dyDescent="0.3">
      <c r="A1037" s="10"/>
      <c r="B1037" s="9"/>
      <c r="C1037" s="8"/>
      <c r="D1037" s="3"/>
      <c r="E1037" s="3"/>
      <c r="F1037" s="3"/>
      <c r="G1037" s="3"/>
      <c r="H1037" s="3"/>
      <c r="I1037" s="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spans="1:33" x14ac:dyDescent="0.3">
      <c r="A1038" s="10"/>
      <c r="B1038" s="9"/>
      <c r="C1038" s="8"/>
      <c r="D1038" s="3"/>
      <c r="E1038" s="3"/>
      <c r="F1038" s="3"/>
      <c r="G1038" s="3"/>
      <c r="H1038" s="3"/>
      <c r="I1038" s="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spans="1:33" x14ac:dyDescent="0.3">
      <c r="A1039" s="10"/>
      <c r="B1039" s="9"/>
      <c r="C1039" s="8"/>
      <c r="D1039" s="3"/>
      <c r="E1039" s="3"/>
      <c r="F1039" s="3"/>
      <c r="G1039" s="3"/>
      <c r="H1039" s="3"/>
      <c r="I1039" s="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spans="1:33" x14ac:dyDescent="0.3">
      <c r="A1040" s="10"/>
      <c r="B1040" s="9"/>
      <c r="C1040" s="8"/>
      <c r="D1040" s="3"/>
      <c r="E1040" s="3"/>
      <c r="F1040" s="3"/>
      <c r="G1040" s="3"/>
      <c r="H1040" s="3"/>
      <c r="I1040" s="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spans="1:33" x14ac:dyDescent="0.3">
      <c r="A1041" s="10"/>
      <c r="B1041" s="9"/>
      <c r="C1041" s="8"/>
      <c r="D1041" s="3"/>
      <c r="E1041" s="3"/>
      <c r="F1041" s="3"/>
      <c r="G1041" s="3"/>
      <c r="H1041" s="3"/>
      <c r="I1041" s="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spans="1:33" x14ac:dyDescent="0.3">
      <c r="A1042" s="10"/>
      <c r="B1042" s="9"/>
      <c r="C1042" s="8"/>
      <c r="D1042" s="3"/>
      <c r="E1042" s="3"/>
      <c r="F1042" s="3"/>
      <c r="G1042" s="3"/>
      <c r="H1042" s="3"/>
      <c r="I1042" s="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spans="1:33" x14ac:dyDescent="0.3">
      <c r="A1043" s="10"/>
      <c r="B1043" s="9"/>
      <c r="C1043" s="8"/>
      <c r="D1043" s="3"/>
      <c r="E1043" s="3"/>
      <c r="F1043" s="3"/>
      <c r="G1043" s="3"/>
      <c r="H1043" s="3"/>
      <c r="I1043" s="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spans="1:33" x14ac:dyDescent="0.3">
      <c r="A1044" s="10"/>
      <c r="B1044" s="9"/>
      <c r="C1044" s="8"/>
      <c r="D1044" s="3"/>
      <c r="E1044" s="3"/>
      <c r="F1044" s="3"/>
      <c r="G1044" s="3"/>
      <c r="H1044" s="3"/>
      <c r="I1044" s="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spans="1:33" x14ac:dyDescent="0.3">
      <c r="A1045" s="10"/>
      <c r="B1045" s="9"/>
      <c r="C1045" s="8"/>
      <c r="D1045" s="3"/>
      <c r="E1045" s="3"/>
      <c r="F1045" s="3"/>
      <c r="G1045" s="3"/>
      <c r="H1045" s="3"/>
      <c r="I1045" s="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spans="1:33" x14ac:dyDescent="0.3">
      <c r="A1046" s="10"/>
      <c r="B1046" s="9"/>
      <c r="C1046" s="8"/>
      <c r="D1046" s="3"/>
      <c r="E1046" s="3"/>
      <c r="F1046" s="3"/>
      <c r="G1046" s="3"/>
      <c r="H1046" s="3"/>
      <c r="I1046" s="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spans="1:33" x14ac:dyDescent="0.3">
      <c r="A1047" s="10"/>
      <c r="B1047" s="9"/>
      <c r="C1047" s="8"/>
      <c r="D1047" s="3"/>
      <c r="E1047" s="3"/>
      <c r="F1047" s="3"/>
      <c r="G1047" s="3"/>
      <c r="H1047" s="3"/>
      <c r="I1047" s="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spans="1:33" x14ac:dyDescent="0.3">
      <c r="A1048" s="10"/>
      <c r="B1048" s="9"/>
      <c r="C1048" s="8"/>
      <c r="D1048" s="3"/>
      <c r="E1048" s="3"/>
      <c r="F1048" s="3"/>
      <c r="G1048" s="3"/>
      <c r="H1048" s="3"/>
      <c r="I1048" s="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spans="1:33" x14ac:dyDescent="0.3">
      <c r="A1049" s="10"/>
      <c r="B1049" s="9"/>
      <c r="C1049" s="8"/>
      <c r="D1049" s="3"/>
      <c r="E1049" s="3"/>
      <c r="F1049" s="3"/>
      <c r="G1049" s="3"/>
      <c r="H1049" s="3"/>
      <c r="I1049" s="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spans="1:33" x14ac:dyDescent="0.3">
      <c r="A1050" s="10"/>
      <c r="B1050" s="9"/>
      <c r="C1050" s="8"/>
      <c r="D1050" s="3"/>
      <c r="E1050" s="3"/>
      <c r="F1050" s="3"/>
      <c r="G1050" s="3"/>
      <c r="H1050" s="3"/>
      <c r="I1050" s="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spans="1:33" x14ac:dyDescent="0.3">
      <c r="A1051" s="10"/>
      <c r="B1051" s="9"/>
      <c r="C1051" s="8"/>
      <c r="D1051" s="3"/>
      <c r="E1051" s="3"/>
      <c r="F1051" s="3"/>
      <c r="G1051" s="3"/>
      <c r="H1051" s="3"/>
      <c r="I1051" s="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spans="1:33" x14ac:dyDescent="0.3">
      <c r="A1052" s="10"/>
      <c r="B1052" s="9"/>
      <c r="C1052" s="8"/>
      <c r="D1052" s="3"/>
      <c r="E1052" s="3"/>
      <c r="F1052" s="3"/>
      <c r="G1052" s="3"/>
      <c r="H1052" s="3"/>
      <c r="I1052" s="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spans="1:33" x14ac:dyDescent="0.3">
      <c r="A1053" s="10"/>
      <c r="B1053" s="9"/>
      <c r="C1053" s="8"/>
      <c r="D1053" s="3"/>
      <c r="E1053" s="3"/>
      <c r="F1053" s="3"/>
      <c r="G1053" s="3"/>
      <c r="H1053" s="3"/>
      <c r="I1053" s="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spans="1:33" x14ac:dyDescent="0.3">
      <c r="A1054" s="10"/>
      <c r="B1054" s="9"/>
      <c r="C1054" s="8"/>
      <c r="D1054" s="3"/>
      <c r="E1054" s="3"/>
      <c r="F1054" s="3"/>
      <c r="G1054" s="3"/>
      <c r="H1054" s="3"/>
      <c r="I1054" s="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spans="1:33" x14ac:dyDescent="0.3">
      <c r="A1055" s="10"/>
      <c r="B1055" s="9"/>
      <c r="C1055" s="8"/>
      <c r="D1055" s="3"/>
      <c r="E1055" s="3"/>
      <c r="F1055" s="3"/>
      <c r="G1055" s="3"/>
      <c r="H1055" s="3"/>
      <c r="I1055" s="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spans="1:33" x14ac:dyDescent="0.3">
      <c r="A1056" s="10"/>
      <c r="B1056" s="9"/>
      <c r="C1056" s="8"/>
      <c r="D1056" s="3"/>
      <c r="E1056" s="3"/>
      <c r="F1056" s="3"/>
      <c r="G1056" s="3"/>
      <c r="H1056" s="3"/>
      <c r="I1056" s="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spans="1:33" x14ac:dyDescent="0.3">
      <c r="A1057" s="10"/>
      <c r="B1057" s="9"/>
      <c r="C1057" s="8"/>
      <c r="D1057" s="3"/>
      <c r="E1057" s="3"/>
      <c r="F1057" s="3"/>
      <c r="G1057" s="3"/>
      <c r="H1057" s="3"/>
      <c r="I1057" s="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spans="1:33" x14ac:dyDescent="0.3">
      <c r="A1058" s="10"/>
      <c r="B1058" s="9"/>
      <c r="C1058" s="8"/>
      <c r="D1058" s="3"/>
      <c r="E1058" s="3"/>
      <c r="F1058" s="3"/>
      <c r="G1058" s="3"/>
      <c r="H1058" s="3"/>
      <c r="I1058" s="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spans="1:33" x14ac:dyDescent="0.3">
      <c r="A1059" s="10"/>
      <c r="B1059" s="9"/>
      <c r="C1059" s="8"/>
      <c r="D1059" s="3"/>
      <c r="E1059" s="3"/>
      <c r="F1059" s="3"/>
      <c r="G1059" s="3"/>
      <c r="H1059" s="3"/>
      <c r="I1059" s="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spans="1:33" x14ac:dyDescent="0.3">
      <c r="A1060" s="10"/>
      <c r="B1060" s="9"/>
      <c r="C1060" s="8"/>
      <c r="D1060" s="3"/>
      <c r="E1060" s="3"/>
      <c r="F1060" s="3"/>
      <c r="G1060" s="3"/>
      <c r="H1060" s="3"/>
      <c r="I1060" s="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spans="1:33" x14ac:dyDescent="0.3">
      <c r="A1061" s="10"/>
      <c r="B1061" s="9"/>
      <c r="C1061" s="8"/>
      <c r="D1061" s="3"/>
      <c r="E1061" s="3"/>
      <c r="F1061" s="3"/>
      <c r="G1061" s="3"/>
      <c r="H1061" s="3"/>
      <c r="I1061" s="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spans="1:33" x14ac:dyDescent="0.3">
      <c r="A1062" s="10"/>
      <c r="B1062" s="9"/>
      <c r="C1062" s="8"/>
      <c r="D1062" s="3"/>
      <c r="E1062" s="3"/>
      <c r="F1062" s="3"/>
      <c r="G1062" s="3"/>
      <c r="H1062" s="3"/>
      <c r="I1062" s="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spans="1:33" x14ac:dyDescent="0.3">
      <c r="A1063" s="10"/>
      <c r="B1063" s="9"/>
      <c r="C1063" s="8"/>
      <c r="D1063" s="3"/>
      <c r="E1063" s="3"/>
      <c r="F1063" s="3"/>
      <c r="G1063" s="3"/>
      <c r="H1063" s="3"/>
      <c r="I1063" s="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spans="1:33" x14ac:dyDescent="0.3">
      <c r="A1064" s="10"/>
      <c r="B1064" s="9"/>
      <c r="C1064" s="8"/>
      <c r="D1064" s="3"/>
      <c r="E1064" s="2"/>
      <c r="F1064" s="2"/>
      <c r="G1064" s="2"/>
      <c r="H1064" s="2"/>
      <c r="I1064" s="7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</row>
    <row r="1065" spans="1:33" x14ac:dyDescent="0.3">
      <c r="A1065" s="10"/>
      <c r="B1065" s="9"/>
      <c r="C1065" s="8"/>
      <c r="D1065" s="3"/>
      <c r="E1065" s="3"/>
      <c r="F1065" s="3"/>
      <c r="G1065" s="3"/>
      <c r="H1065" s="3"/>
      <c r="I1065" s="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spans="1:33" x14ac:dyDescent="0.3">
      <c r="A1066" s="10"/>
      <c r="B1066" s="9"/>
      <c r="C1066" s="8"/>
      <c r="D1066" s="3"/>
      <c r="E1066" s="3"/>
      <c r="F1066" s="3"/>
      <c r="G1066" s="3"/>
      <c r="H1066" s="3"/>
      <c r="I1066" s="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spans="1:33" x14ac:dyDescent="0.3">
      <c r="A1067" s="10"/>
      <c r="B1067" s="9"/>
      <c r="C1067" s="8"/>
      <c r="D1067" s="3"/>
      <c r="E1067" s="3"/>
      <c r="F1067" s="3"/>
      <c r="G1067" s="3"/>
      <c r="H1067" s="3"/>
      <c r="I1067" s="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spans="1:33" x14ac:dyDescent="0.3">
      <c r="A1068" s="10"/>
      <c r="B1068" s="9"/>
      <c r="C1068" s="8"/>
      <c r="D1068" s="3"/>
      <c r="E1068" s="3"/>
      <c r="F1068" s="3"/>
      <c r="G1068" s="3"/>
      <c r="H1068" s="3"/>
      <c r="I1068" s="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spans="1:33" x14ac:dyDescent="0.3">
      <c r="A1069" s="10"/>
      <c r="B1069" s="9"/>
      <c r="C1069" s="8"/>
      <c r="D1069" s="3"/>
      <c r="E1069" s="3"/>
      <c r="F1069" s="3"/>
      <c r="G1069" s="3"/>
      <c r="H1069" s="3"/>
      <c r="I1069" s="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spans="1:33" x14ac:dyDescent="0.3">
      <c r="A1070" s="10"/>
      <c r="B1070" s="9"/>
      <c r="C1070" s="8"/>
      <c r="D1070" s="3"/>
      <c r="E1070" s="2"/>
      <c r="F1070" s="2"/>
      <c r="G1070" s="2"/>
      <c r="H1070" s="2"/>
      <c r="I1070" s="7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</row>
    <row r="1071" spans="1:33" x14ac:dyDescent="0.3">
      <c r="A1071" s="10"/>
      <c r="B1071" s="9"/>
      <c r="C1071" s="8"/>
      <c r="D1071" s="3"/>
      <c r="E1071" s="2"/>
      <c r="F1071" s="2"/>
      <c r="G1071" s="2"/>
      <c r="H1071" s="2"/>
      <c r="I1071" s="7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</row>
    <row r="1072" spans="1:33" x14ac:dyDescent="0.3">
      <c r="A1072" s="10"/>
      <c r="B1072" s="9"/>
      <c r="C1072" s="8"/>
      <c r="D1072" s="3"/>
      <c r="E1072" s="2"/>
      <c r="F1072" s="2"/>
      <c r="G1072" s="2"/>
      <c r="H1072" s="2"/>
      <c r="I1072" s="7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</row>
    <row r="1073" spans="1:33" x14ac:dyDescent="0.3">
      <c r="A1073" s="6"/>
      <c r="B1073" s="5"/>
      <c r="C1073" s="4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spans="1:33" x14ac:dyDescent="0.3">
      <c r="A1074" s="6"/>
      <c r="B1074" s="5"/>
      <c r="C1074" s="4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spans="1:33" x14ac:dyDescent="0.3">
      <c r="A1075" s="6"/>
      <c r="B1075" s="5"/>
      <c r="C1075" s="4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spans="1:33" x14ac:dyDescent="0.3">
      <c r="A1076" s="6"/>
      <c r="B1076" s="5"/>
      <c r="C1076" s="4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spans="1:33" x14ac:dyDescent="0.3">
      <c r="A1077" s="6"/>
      <c r="B1077" s="5"/>
      <c r="C1077" s="4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spans="1:33" x14ac:dyDescent="0.3">
      <c r="A1078" s="6"/>
      <c r="B1078" s="5"/>
      <c r="C1078" s="4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spans="1:33" x14ac:dyDescent="0.3">
      <c r="A1079" s="6"/>
      <c r="B1079" s="5"/>
      <c r="C1079" s="4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spans="1:33" x14ac:dyDescent="0.3">
      <c r="A1080" s="6"/>
      <c r="B1080" s="5"/>
      <c r="C1080" s="4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spans="1:33" x14ac:dyDescent="0.3">
      <c r="A1081" s="6"/>
      <c r="B1081" s="5"/>
      <c r="C1081" s="4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spans="1:33" x14ac:dyDescent="0.3">
      <c r="A1082" s="6"/>
      <c r="B1082" s="5"/>
      <c r="C1082" s="4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spans="1:33" x14ac:dyDescent="0.3">
      <c r="A1083" s="6"/>
      <c r="B1083" s="5"/>
      <c r="C1083" s="4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spans="1:33" x14ac:dyDescent="0.3">
      <c r="A1084" s="6"/>
      <c r="B1084" s="5"/>
      <c r="C1084" s="4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spans="1:33" x14ac:dyDescent="0.3">
      <c r="A1085" s="6"/>
      <c r="B1085" s="5"/>
      <c r="C1085" s="4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spans="1:33" x14ac:dyDescent="0.3">
      <c r="A1086" s="6"/>
      <c r="B1086" s="5"/>
      <c r="C1086" s="4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spans="1:33" x14ac:dyDescent="0.3">
      <c r="A1087" s="6"/>
      <c r="B1087" s="5"/>
      <c r="C1087" s="4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spans="1:33" x14ac:dyDescent="0.3">
      <c r="A1088" s="6"/>
      <c r="B1088" s="5"/>
      <c r="C1088" s="4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spans="1:33" x14ac:dyDescent="0.3">
      <c r="A1089" s="6"/>
      <c r="B1089" s="5"/>
      <c r="C1089" s="4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spans="1:33" x14ac:dyDescent="0.3">
      <c r="A1090" s="6"/>
      <c r="B1090" s="5"/>
      <c r="C1090" s="4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spans="1:33" x14ac:dyDescent="0.3">
      <c r="A1091" s="6"/>
      <c r="B1091" s="5"/>
      <c r="C1091" s="4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spans="1:33" x14ac:dyDescent="0.3">
      <c r="A1092" s="6"/>
      <c r="B1092" s="5"/>
      <c r="C1092" s="4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spans="1:33" x14ac:dyDescent="0.3">
      <c r="A1093" s="6"/>
      <c r="B1093" s="5"/>
      <c r="C1093" s="4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spans="1:33" x14ac:dyDescent="0.3">
      <c r="A1094" s="6"/>
      <c r="B1094" s="5"/>
      <c r="C1094" s="4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spans="1:33" x14ac:dyDescent="0.3">
      <c r="A1095" s="6"/>
      <c r="B1095" s="5"/>
      <c r="C1095" s="4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spans="1:33" x14ac:dyDescent="0.3">
      <c r="A1096" s="6"/>
      <c r="B1096" s="5"/>
      <c r="C1096" s="4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spans="1:33" x14ac:dyDescent="0.3">
      <c r="A1097" s="6"/>
      <c r="B1097" s="5"/>
      <c r="C1097" s="4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spans="1:33" x14ac:dyDescent="0.3">
      <c r="A1098" s="6"/>
      <c r="B1098" s="5"/>
      <c r="C1098" s="4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spans="1:33" x14ac:dyDescent="0.3">
      <c r="A1099" s="6"/>
      <c r="B1099" s="5"/>
      <c r="C1099" s="4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spans="1:33" x14ac:dyDescent="0.3">
      <c r="A1100" s="6"/>
      <c r="B1100" s="5"/>
      <c r="C1100" s="4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spans="1:33" x14ac:dyDescent="0.3">
      <c r="A1101" s="6"/>
      <c r="B1101" s="5"/>
      <c r="C1101" s="4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spans="1:33" x14ac:dyDescent="0.3">
      <c r="A1102" s="6"/>
      <c r="B1102" s="5"/>
      <c r="C1102" s="4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spans="1:33" x14ac:dyDescent="0.3">
      <c r="A1103" s="6"/>
      <c r="B1103" s="5"/>
      <c r="C1103" s="4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spans="1:33" x14ac:dyDescent="0.3">
      <c r="A1104" s="6"/>
      <c r="B1104" s="5"/>
      <c r="C1104" s="4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spans="1:33" x14ac:dyDescent="0.3">
      <c r="A1105" s="6"/>
      <c r="B1105" s="5"/>
      <c r="C1105" s="4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spans="1:33" x14ac:dyDescent="0.3">
      <c r="A1106" s="6"/>
      <c r="B1106" s="5"/>
      <c r="C1106" s="4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spans="1:33" x14ac:dyDescent="0.3">
      <c r="A1107" s="6"/>
      <c r="B1107" s="5"/>
      <c r="C1107" s="4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spans="1:33" x14ac:dyDescent="0.3">
      <c r="A1108" s="6"/>
      <c r="B1108" s="5"/>
      <c r="C1108" s="4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spans="1:33" x14ac:dyDescent="0.3">
      <c r="A1109" s="6"/>
      <c r="B1109" s="5"/>
      <c r="C1109" s="4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spans="1:33" x14ac:dyDescent="0.3">
      <c r="A1110" s="6"/>
      <c r="B1110" s="5"/>
      <c r="C1110" s="4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spans="1:33" x14ac:dyDescent="0.3">
      <c r="A1111" s="6"/>
      <c r="B1111" s="5"/>
      <c r="C1111" s="4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spans="1:33" x14ac:dyDescent="0.3">
      <c r="A1112" s="6"/>
      <c r="B1112" s="5"/>
      <c r="C1112" s="4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  <row r="1113" spans="1:33" x14ac:dyDescent="0.3">
      <c r="A1113" s="6"/>
      <c r="B1113" s="5"/>
      <c r="C1113" s="4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</row>
    <row r="1114" spans="1:33" x14ac:dyDescent="0.3">
      <c r="A1114" s="6"/>
      <c r="B1114" s="5"/>
      <c r="C1114" s="4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</row>
    <row r="1115" spans="1:33" x14ac:dyDescent="0.3">
      <c r="A1115" s="6"/>
      <c r="B1115" s="5"/>
      <c r="C1115" s="4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</row>
    <row r="1116" spans="1:33" x14ac:dyDescent="0.3">
      <c r="A1116" s="6"/>
      <c r="B1116" s="5"/>
      <c r="C1116" s="4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</row>
    <row r="1117" spans="1:33" x14ac:dyDescent="0.3">
      <c r="A1117" s="6"/>
      <c r="B1117" s="5"/>
      <c r="C1117" s="4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</row>
    <row r="1118" spans="1:33" x14ac:dyDescent="0.3">
      <c r="A1118" s="6"/>
      <c r="B1118" s="5"/>
      <c r="C1118" s="4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</row>
    <row r="1119" spans="1:33" x14ac:dyDescent="0.3">
      <c r="A1119" s="6"/>
      <c r="B1119" s="5"/>
      <c r="C1119" s="4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</row>
    <row r="1120" spans="1:33" x14ac:dyDescent="0.3">
      <c r="A1120" s="6"/>
      <c r="B1120" s="5"/>
      <c r="C1120" s="4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</row>
    <row r="1121" spans="1:33" x14ac:dyDescent="0.3">
      <c r="A1121" s="6"/>
      <c r="B1121" s="5"/>
      <c r="C1121" s="4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</row>
    <row r="1122" spans="1:33" x14ac:dyDescent="0.3">
      <c r="A1122" s="6"/>
      <c r="B1122" s="5"/>
      <c r="C1122" s="4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</row>
    <row r="1123" spans="1:33" x14ac:dyDescent="0.3">
      <c r="A1123" s="6"/>
      <c r="B1123" s="5"/>
      <c r="C1123" s="4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</row>
    <row r="1124" spans="1:33" x14ac:dyDescent="0.3">
      <c r="A1124" s="6"/>
      <c r="B1124" s="5"/>
      <c r="C1124" s="4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</row>
    <row r="1125" spans="1:33" x14ac:dyDescent="0.3">
      <c r="A1125" s="6"/>
      <c r="B1125" s="5"/>
      <c r="C1125" s="4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</row>
    <row r="1126" spans="1:33" x14ac:dyDescent="0.3">
      <c r="A1126" s="6"/>
      <c r="B1126" s="5"/>
      <c r="C1126" s="4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</row>
    <row r="1127" spans="1:33" x14ac:dyDescent="0.3">
      <c r="A1127" s="6"/>
      <c r="B1127" s="5"/>
      <c r="C1127" s="4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</row>
    <row r="1128" spans="1:33" x14ac:dyDescent="0.3">
      <c r="A1128" s="6"/>
      <c r="B1128" s="5"/>
      <c r="C1128" s="4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</row>
    <row r="1129" spans="1:33" x14ac:dyDescent="0.3">
      <c r="A1129" s="6"/>
      <c r="B1129" s="5"/>
      <c r="C1129" s="4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</row>
    <row r="1130" spans="1:33" x14ac:dyDescent="0.3">
      <c r="A1130" s="6"/>
      <c r="B1130" s="5"/>
      <c r="C1130" s="4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</row>
    <row r="1131" spans="1:33" x14ac:dyDescent="0.3">
      <c r="A1131" s="6"/>
      <c r="B1131" s="5"/>
      <c r="C1131" s="4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</row>
    <row r="1132" spans="1:33" x14ac:dyDescent="0.3">
      <c r="A1132" s="6"/>
      <c r="B1132" s="5"/>
      <c r="C1132" s="4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</row>
    <row r="1133" spans="1:33" x14ac:dyDescent="0.3">
      <c r="A1133" s="6"/>
      <c r="B1133" s="5"/>
      <c r="C1133" s="4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</row>
    <row r="1134" spans="1:33" x14ac:dyDescent="0.3">
      <c r="A1134" s="6"/>
      <c r="B1134" s="5"/>
      <c r="C1134" s="4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</row>
    <row r="1135" spans="1:33" x14ac:dyDescent="0.3">
      <c r="A1135" s="6"/>
      <c r="B1135" s="5"/>
      <c r="C1135" s="4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</row>
    <row r="1136" spans="1:33" x14ac:dyDescent="0.3">
      <c r="A1136" s="6"/>
      <c r="B1136" s="5"/>
      <c r="C1136" s="4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</row>
    <row r="1137" spans="1:33" x14ac:dyDescent="0.3">
      <c r="A1137" s="6"/>
      <c r="B1137" s="5"/>
      <c r="C1137" s="4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</row>
    <row r="1138" spans="1:33" x14ac:dyDescent="0.3">
      <c r="A1138" s="6"/>
      <c r="B1138" s="5"/>
      <c r="C1138" s="4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</row>
    <row r="1139" spans="1:33" x14ac:dyDescent="0.3">
      <c r="A1139" s="6"/>
      <c r="B1139" s="5"/>
      <c r="C1139" s="4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</row>
    <row r="1140" spans="1:33" x14ac:dyDescent="0.3">
      <c r="A1140" s="6"/>
      <c r="B1140" s="5"/>
      <c r="C1140" s="4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</row>
    <row r="1141" spans="1:33" x14ac:dyDescent="0.3">
      <c r="A1141" s="6"/>
      <c r="B1141" s="5"/>
      <c r="C1141" s="4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</row>
    <row r="1142" spans="1:33" x14ac:dyDescent="0.3">
      <c r="A1142" s="6"/>
      <c r="B1142" s="5"/>
      <c r="C1142" s="4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</row>
    <row r="1143" spans="1:33" x14ac:dyDescent="0.3">
      <c r="A1143" s="6"/>
      <c r="B1143" s="5"/>
      <c r="C1143" s="4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</row>
    <row r="1144" spans="1:33" x14ac:dyDescent="0.3">
      <c r="A1144" s="6"/>
      <c r="B1144" s="5"/>
      <c r="C1144" s="4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</row>
    <row r="1145" spans="1:33" x14ac:dyDescent="0.3">
      <c r="A1145" s="6"/>
      <c r="B1145" s="5"/>
      <c r="C1145" s="4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</row>
    <row r="1146" spans="1:33" x14ac:dyDescent="0.3">
      <c r="A1146" s="6"/>
      <c r="B1146" s="5"/>
      <c r="C1146" s="4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</row>
    <row r="1147" spans="1:33" x14ac:dyDescent="0.3">
      <c r="A1147" s="6"/>
      <c r="B1147" s="5"/>
      <c r="C1147" s="4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</row>
    <row r="1148" spans="1:33" x14ac:dyDescent="0.3">
      <c r="A1148" s="6"/>
      <c r="B1148" s="5"/>
      <c r="C1148" s="4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</row>
    <row r="1149" spans="1:33" x14ac:dyDescent="0.3">
      <c r="A1149" s="6"/>
      <c r="B1149" s="5"/>
      <c r="C1149" s="4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</row>
    <row r="1150" spans="1:33" x14ac:dyDescent="0.3">
      <c r="A1150" s="6"/>
      <c r="B1150" s="5"/>
      <c r="C1150" s="4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</row>
    <row r="1151" spans="1:33" x14ac:dyDescent="0.3">
      <c r="A1151" s="6"/>
      <c r="B1151" s="5"/>
      <c r="C1151" s="4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</row>
    <row r="1152" spans="1:33" x14ac:dyDescent="0.3">
      <c r="A1152" s="6"/>
      <c r="B1152" s="5"/>
      <c r="C1152" s="4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</row>
    <row r="1153" spans="1:33" x14ac:dyDescent="0.3">
      <c r="A1153" s="6"/>
      <c r="B1153" s="5"/>
      <c r="C1153" s="4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</row>
    <row r="1154" spans="1:33" x14ac:dyDescent="0.3">
      <c r="A1154" s="6"/>
      <c r="B1154" s="5"/>
      <c r="C1154" s="4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</row>
    <row r="1155" spans="1:33" x14ac:dyDescent="0.3">
      <c r="A1155" s="6"/>
      <c r="B1155" s="5"/>
      <c r="C1155" s="4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</row>
    <row r="1156" spans="1:33" x14ac:dyDescent="0.3">
      <c r="A1156" s="6"/>
      <c r="B1156" s="5"/>
      <c r="C1156" s="4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</row>
    <row r="1157" spans="1:33" x14ac:dyDescent="0.3">
      <c r="A1157" s="6"/>
      <c r="B1157" s="5"/>
      <c r="C1157" s="4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</row>
    <row r="1158" spans="1:33" x14ac:dyDescent="0.3">
      <c r="A1158" s="6"/>
      <c r="B1158" s="5"/>
      <c r="C1158" s="4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</row>
    <row r="1159" spans="1:33" x14ac:dyDescent="0.3">
      <c r="A1159" s="6"/>
      <c r="B1159" s="5"/>
      <c r="C1159" s="4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</row>
    <row r="1160" spans="1:33" x14ac:dyDescent="0.3">
      <c r="A1160" s="6"/>
      <c r="B1160" s="5"/>
      <c r="C1160" s="4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</row>
    <row r="1161" spans="1:33" x14ac:dyDescent="0.3">
      <c r="A1161" s="6"/>
      <c r="B1161" s="5"/>
      <c r="C1161" s="4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</row>
    <row r="1162" spans="1:33" x14ac:dyDescent="0.3">
      <c r="A1162" s="6"/>
      <c r="B1162" s="5"/>
      <c r="C1162" s="4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</row>
    <row r="1163" spans="1:33" x14ac:dyDescent="0.3">
      <c r="A1163" s="6"/>
      <c r="B1163" s="5"/>
      <c r="C1163" s="4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</row>
    <row r="1164" spans="1:33" x14ac:dyDescent="0.3">
      <c r="A1164" s="6"/>
      <c r="B1164" s="5"/>
      <c r="C1164" s="4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</row>
    <row r="1165" spans="1:33" x14ac:dyDescent="0.3">
      <c r="A1165" s="6"/>
      <c r="B1165" s="5"/>
      <c r="C1165" s="4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</row>
    <row r="1166" spans="1:33" x14ac:dyDescent="0.3">
      <c r="A1166" s="6"/>
      <c r="B1166" s="5"/>
      <c r="C1166" s="4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</row>
    <row r="1167" spans="1:33" x14ac:dyDescent="0.3">
      <c r="A1167" s="6"/>
      <c r="B1167" s="5"/>
      <c r="C1167" s="4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</row>
    <row r="1168" spans="1:33" x14ac:dyDescent="0.3">
      <c r="A1168" s="6"/>
      <c r="B1168" s="5"/>
      <c r="C1168" s="4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</row>
    <row r="1169" spans="1:33" x14ac:dyDescent="0.3">
      <c r="A1169" s="6"/>
      <c r="B1169" s="5"/>
      <c r="C1169" s="4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</row>
    <row r="1170" spans="1:33" x14ac:dyDescent="0.3">
      <c r="A1170" s="6"/>
      <c r="B1170" s="5"/>
      <c r="C1170" s="4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</row>
    <row r="1171" spans="1:33" x14ac:dyDescent="0.3">
      <c r="A1171" s="6"/>
      <c r="B1171" s="5"/>
      <c r="C1171" s="4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</row>
    <row r="1172" spans="1:33" x14ac:dyDescent="0.3">
      <c r="A1172" s="6"/>
      <c r="B1172" s="5"/>
      <c r="C1172" s="4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</row>
    <row r="1173" spans="1:33" x14ac:dyDescent="0.3">
      <c r="A1173" s="6"/>
      <c r="B1173" s="5"/>
      <c r="C1173" s="4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</row>
    <row r="1174" spans="1:33" x14ac:dyDescent="0.3">
      <c r="A1174" s="6"/>
      <c r="B1174" s="5"/>
      <c r="C1174" s="4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</row>
    <row r="1175" spans="1:33" x14ac:dyDescent="0.3">
      <c r="A1175" s="6"/>
      <c r="B1175" s="5"/>
      <c r="C1175" s="4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</row>
    <row r="1176" spans="1:33" x14ac:dyDescent="0.3">
      <c r="A1176" s="6"/>
      <c r="B1176" s="5"/>
      <c r="C1176" s="4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</row>
    <row r="1177" spans="1:33" x14ac:dyDescent="0.3">
      <c r="A1177" s="6"/>
      <c r="B1177" s="5"/>
      <c r="C1177" s="4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</row>
    <row r="1178" spans="1:33" x14ac:dyDescent="0.3">
      <c r="A1178" s="6"/>
      <c r="B1178" s="5"/>
      <c r="C1178" s="4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</row>
    <row r="1179" spans="1:33" x14ac:dyDescent="0.3">
      <c r="A1179" s="6"/>
      <c r="B1179" s="5"/>
      <c r="C1179" s="4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 x14ac:dyDescent="0.3">
      <c r="A1180" s="6"/>
      <c r="B1180" s="5"/>
      <c r="C1180" s="4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</row>
    <row r="1181" spans="1:33" x14ac:dyDescent="0.3">
      <c r="A1181" s="6"/>
      <c r="B1181" s="5"/>
      <c r="C1181" s="4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</row>
    <row r="1182" spans="1:33" x14ac:dyDescent="0.3">
      <c r="A1182" s="6"/>
      <c r="B1182" s="5"/>
      <c r="C1182" s="4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</row>
    <row r="1183" spans="1:33" x14ac:dyDescent="0.3">
      <c r="A1183" s="6"/>
      <c r="B1183" s="5"/>
      <c r="C1183" s="4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3" x14ac:dyDescent="0.3">
      <c r="A1184" s="6"/>
      <c r="B1184" s="5"/>
      <c r="C1184" s="4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</row>
    <row r="1185" spans="1:33" x14ac:dyDescent="0.3">
      <c r="A1185" s="6"/>
      <c r="B1185" s="5"/>
      <c r="C1185" s="4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</row>
    <row r="1186" spans="1:33" x14ac:dyDescent="0.3">
      <c r="A1186" s="6"/>
      <c r="B1186" s="5"/>
      <c r="C1186" s="4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</row>
    <row r="1187" spans="1:33" x14ac:dyDescent="0.3">
      <c r="A1187" s="6"/>
      <c r="B1187" s="5"/>
      <c r="C1187" s="4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</row>
    <row r="1188" spans="1:33" x14ac:dyDescent="0.3">
      <c r="A1188" s="6"/>
      <c r="B1188" s="5"/>
      <c r="C1188" s="4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</row>
    <row r="1189" spans="1:33" x14ac:dyDescent="0.3">
      <c r="A1189" s="6"/>
      <c r="B1189" s="5"/>
      <c r="C1189" s="4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</row>
    <row r="1190" spans="1:33" x14ac:dyDescent="0.3">
      <c r="A1190" s="6"/>
      <c r="B1190" s="5"/>
      <c r="C1190" s="4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</row>
    <row r="1191" spans="1:33" x14ac:dyDescent="0.3">
      <c r="A1191" s="6"/>
      <c r="B1191" s="5"/>
      <c r="C1191" s="4"/>
      <c r="D1191" s="2"/>
      <c r="E1191" s="3"/>
      <c r="F1191" s="3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</row>
    <row r="1192" spans="1:33" x14ac:dyDescent="0.3">
      <c r="E1192" s="3"/>
      <c r="F1192" s="3"/>
      <c r="G1192" s="1"/>
      <c r="H1192" s="1"/>
    </row>
    <row r="1193" spans="1:33" x14ac:dyDescent="0.3">
      <c r="E1193" s="3"/>
      <c r="F1193" s="3"/>
      <c r="G1193" s="1"/>
      <c r="H1193" s="1"/>
    </row>
    <row r="1194" spans="1:33" x14ac:dyDescent="0.3">
      <c r="E1194" s="3"/>
      <c r="F1194" s="3"/>
      <c r="G1194" s="1"/>
      <c r="H1194" s="1"/>
    </row>
    <row r="1195" spans="1:33" x14ac:dyDescent="0.3">
      <c r="E1195" s="3"/>
      <c r="F1195" s="3"/>
      <c r="G1195" s="1"/>
      <c r="H1195" s="1"/>
    </row>
    <row r="1196" spans="1:33" x14ac:dyDescent="0.3">
      <c r="E1196" s="3"/>
      <c r="F1196" s="3"/>
      <c r="G1196" s="1"/>
      <c r="H1196" s="1"/>
    </row>
    <row r="1197" spans="1:33" x14ac:dyDescent="0.3">
      <c r="E1197" s="3"/>
      <c r="F1197" s="3"/>
      <c r="G1197" s="1"/>
      <c r="H1197" s="1"/>
    </row>
    <row r="1198" spans="1:33" x14ac:dyDescent="0.3">
      <c r="E1198" s="3"/>
      <c r="F1198" s="3"/>
      <c r="G1198" s="1"/>
      <c r="H1198" s="1"/>
    </row>
    <row r="1199" spans="1:33" x14ac:dyDescent="0.3">
      <c r="E1199" s="3"/>
      <c r="F1199" s="3"/>
      <c r="G1199" s="1"/>
      <c r="H1199" s="1"/>
    </row>
    <row r="1200" spans="1:33" x14ac:dyDescent="0.3">
      <c r="E1200" s="3"/>
      <c r="F1200" s="3"/>
      <c r="G1200" s="1"/>
      <c r="H1200" s="1"/>
    </row>
    <row r="1201" spans="5:8" x14ac:dyDescent="0.3">
      <c r="E1201" s="3"/>
      <c r="F1201" s="3"/>
      <c r="G1201" s="1"/>
      <c r="H1201" s="1"/>
    </row>
    <row r="1202" spans="5:8" x14ac:dyDescent="0.3">
      <c r="E1202" s="3"/>
      <c r="F1202" s="3"/>
      <c r="G1202" s="1"/>
      <c r="H1202" s="1"/>
    </row>
    <row r="1203" spans="5:8" x14ac:dyDescent="0.3">
      <c r="E1203" s="3"/>
      <c r="F1203" s="3"/>
      <c r="G1203" s="1"/>
      <c r="H1203" s="1"/>
    </row>
    <row r="1204" spans="5:8" x14ac:dyDescent="0.3">
      <c r="E1204" s="3"/>
      <c r="F1204" s="3"/>
      <c r="G1204" s="1"/>
      <c r="H1204" s="1"/>
    </row>
    <row r="1205" spans="5:8" x14ac:dyDescent="0.3">
      <c r="E1205" s="3"/>
      <c r="F1205" s="3"/>
      <c r="G1205" s="1"/>
      <c r="H1205" s="1"/>
    </row>
    <row r="1206" spans="5:8" x14ac:dyDescent="0.3">
      <c r="E1206" s="3"/>
      <c r="F1206" s="3"/>
      <c r="G1206" s="1"/>
      <c r="H1206" s="1"/>
    </row>
    <row r="1207" spans="5:8" x14ac:dyDescent="0.3">
      <c r="E1207" s="3"/>
      <c r="F1207" s="3"/>
      <c r="G1207" s="1"/>
      <c r="H1207" s="1"/>
    </row>
    <row r="1208" spans="5:8" x14ac:dyDescent="0.3">
      <c r="E1208" s="3"/>
      <c r="F1208" s="3"/>
      <c r="G1208" s="1"/>
      <c r="H1208" s="1"/>
    </row>
    <row r="1209" spans="5:8" x14ac:dyDescent="0.3">
      <c r="E1209" s="3"/>
      <c r="F1209" s="3"/>
      <c r="G1209" s="1"/>
      <c r="H1209" s="1"/>
    </row>
    <row r="1210" spans="5:8" x14ac:dyDescent="0.3">
      <c r="E1210" s="3"/>
      <c r="F1210" s="3"/>
      <c r="G1210" s="1"/>
      <c r="H1210" s="1"/>
    </row>
    <row r="1211" spans="5:8" x14ac:dyDescent="0.3">
      <c r="E1211" s="3"/>
      <c r="F1211" s="3"/>
      <c r="G1211" s="1"/>
      <c r="H1211" s="1"/>
    </row>
    <row r="1212" spans="5:8" x14ac:dyDescent="0.3">
      <c r="E1212" s="3"/>
      <c r="F1212" s="3"/>
      <c r="G1212" s="1"/>
      <c r="H1212" s="1"/>
    </row>
    <row r="1213" spans="5:8" x14ac:dyDescent="0.3">
      <c r="E1213" s="3"/>
      <c r="F1213" s="3"/>
      <c r="G1213" s="1"/>
      <c r="H1213" s="1"/>
    </row>
    <row r="1214" spans="5:8" x14ac:dyDescent="0.3">
      <c r="E1214" s="3"/>
      <c r="F1214" s="3"/>
      <c r="G1214" s="1"/>
      <c r="H1214" s="1"/>
    </row>
    <row r="1215" spans="5:8" x14ac:dyDescent="0.3">
      <c r="E1215" s="3"/>
      <c r="F1215" s="3"/>
      <c r="G1215" s="1"/>
      <c r="H1215" s="1"/>
    </row>
    <row r="1216" spans="5:8" x14ac:dyDescent="0.3">
      <c r="E1216" s="3"/>
      <c r="F1216" s="3"/>
      <c r="G1216" s="1"/>
      <c r="H1216" s="1"/>
    </row>
    <row r="1217" spans="5:8" x14ac:dyDescent="0.3">
      <c r="E1217" s="3"/>
      <c r="F1217" s="3"/>
      <c r="G1217" s="1"/>
      <c r="H1217" s="1"/>
    </row>
    <row r="1218" spans="5:8" x14ac:dyDescent="0.3">
      <c r="E1218" s="3"/>
      <c r="F1218" s="3"/>
      <c r="G1218" s="1"/>
      <c r="H1218" s="1"/>
    </row>
    <row r="1219" spans="5:8" x14ac:dyDescent="0.3">
      <c r="E1219" s="3"/>
      <c r="F1219" s="3"/>
      <c r="G1219" s="1"/>
      <c r="H1219" s="1"/>
    </row>
    <row r="1220" spans="5:8" x14ac:dyDescent="0.3">
      <c r="E1220" s="3"/>
      <c r="F1220" s="3"/>
      <c r="G1220" s="1"/>
      <c r="H1220" s="1"/>
    </row>
    <row r="1221" spans="5:8" x14ac:dyDescent="0.3">
      <c r="E1221" s="3"/>
      <c r="F1221" s="3"/>
      <c r="G1221" s="1"/>
      <c r="H1221" s="1"/>
    </row>
    <row r="1222" spans="5:8" x14ac:dyDescent="0.3">
      <c r="E1222" s="3"/>
      <c r="F1222" s="3"/>
      <c r="G1222" s="1"/>
      <c r="H1222" s="1"/>
    </row>
    <row r="1223" spans="5:8" x14ac:dyDescent="0.3">
      <c r="E1223" s="3"/>
      <c r="F1223" s="3"/>
      <c r="G1223" s="1"/>
      <c r="H1223" s="1"/>
    </row>
    <row r="1224" spans="5:8" x14ac:dyDescent="0.3">
      <c r="E1224" s="3"/>
      <c r="F1224" s="3"/>
      <c r="G1224" s="1"/>
      <c r="H1224" s="1"/>
    </row>
    <row r="1225" spans="5:8" x14ac:dyDescent="0.3">
      <c r="E1225" s="3"/>
      <c r="F1225" s="3"/>
      <c r="G1225" s="1"/>
      <c r="H1225" s="1"/>
    </row>
    <row r="1226" spans="5:8" x14ac:dyDescent="0.3">
      <c r="E1226" s="3"/>
      <c r="F1226" s="3"/>
      <c r="G1226" s="1"/>
      <c r="H1226" s="1"/>
    </row>
    <row r="1227" spans="5:8" x14ac:dyDescent="0.3">
      <c r="E1227" s="3"/>
      <c r="F1227" s="3"/>
      <c r="G1227" s="1"/>
      <c r="H1227" s="1"/>
    </row>
    <row r="1228" spans="5:8" x14ac:dyDescent="0.3">
      <c r="E1228" s="3"/>
      <c r="F1228" s="3"/>
      <c r="G1228" s="1"/>
      <c r="H1228" s="1"/>
    </row>
    <row r="1229" spans="5:8" x14ac:dyDescent="0.3">
      <c r="E1229" s="3"/>
      <c r="F1229" s="3"/>
      <c r="G1229" s="1"/>
      <c r="H1229" s="1"/>
    </row>
    <row r="1230" spans="5:8" x14ac:dyDescent="0.3">
      <c r="E1230" s="3"/>
      <c r="F1230" s="3"/>
      <c r="G1230" s="1"/>
      <c r="H1230" s="1"/>
    </row>
    <row r="1231" spans="5:8" x14ac:dyDescent="0.3">
      <c r="E1231" s="3"/>
      <c r="F1231" s="3"/>
      <c r="G1231" s="1"/>
      <c r="H1231" s="1"/>
    </row>
    <row r="1232" spans="5:8" x14ac:dyDescent="0.3">
      <c r="E1232" s="3"/>
      <c r="F1232" s="3"/>
      <c r="G1232" s="1"/>
      <c r="H1232" s="1"/>
    </row>
    <row r="1233" spans="5:8" x14ac:dyDescent="0.3">
      <c r="E1233" s="3"/>
      <c r="F1233" s="3"/>
      <c r="G1233" s="1"/>
      <c r="H1233" s="1"/>
    </row>
    <row r="1234" spans="5:8" x14ac:dyDescent="0.3">
      <c r="E1234" s="3"/>
      <c r="F1234" s="3"/>
      <c r="G1234" s="1"/>
      <c r="H1234" s="1"/>
    </row>
    <row r="1235" spans="5:8" x14ac:dyDescent="0.3">
      <c r="E1235" s="3"/>
      <c r="F1235" s="3"/>
      <c r="G1235" s="1"/>
      <c r="H1235" s="1"/>
    </row>
    <row r="1236" spans="5:8" x14ac:dyDescent="0.3">
      <c r="E1236" s="3"/>
      <c r="F1236" s="3"/>
      <c r="G1236" s="1"/>
      <c r="H1236" s="1"/>
    </row>
    <row r="1237" spans="5:8" x14ac:dyDescent="0.3">
      <c r="E1237" s="3"/>
      <c r="F1237" s="3"/>
      <c r="G1237" s="1"/>
      <c r="H1237" s="1"/>
    </row>
    <row r="1238" spans="5:8" x14ac:dyDescent="0.3">
      <c r="E1238" s="3"/>
      <c r="F1238" s="3"/>
      <c r="G1238" s="1"/>
      <c r="H1238" s="1"/>
    </row>
    <row r="1239" spans="5:8" x14ac:dyDescent="0.3">
      <c r="E1239" s="3"/>
      <c r="F1239" s="3"/>
      <c r="G1239" s="1"/>
      <c r="H1239" s="1"/>
    </row>
    <row r="1240" spans="5:8" x14ac:dyDescent="0.3">
      <c r="E1240" s="3"/>
      <c r="F1240" s="3"/>
      <c r="G1240" s="1"/>
      <c r="H1240" s="1"/>
    </row>
    <row r="1241" spans="5:8" x14ac:dyDescent="0.3">
      <c r="E1241" s="3"/>
      <c r="F1241" s="3"/>
      <c r="G1241" s="1"/>
      <c r="H1241" s="1"/>
    </row>
    <row r="1242" spans="5:8" x14ac:dyDescent="0.3">
      <c r="E1242" s="3"/>
      <c r="F1242" s="3"/>
      <c r="G1242" s="1"/>
      <c r="H1242" s="1"/>
    </row>
    <row r="1243" spans="5:8" x14ac:dyDescent="0.3">
      <c r="E1243" s="3"/>
      <c r="F1243" s="3"/>
      <c r="G1243" s="1"/>
      <c r="H1243" s="1"/>
    </row>
    <row r="1244" spans="5:8" x14ac:dyDescent="0.3">
      <c r="E1244" s="3"/>
      <c r="F1244" s="3"/>
      <c r="G1244" s="1"/>
      <c r="H1244" s="1"/>
    </row>
    <row r="1245" spans="5:8" x14ac:dyDescent="0.3">
      <c r="E1245" s="3"/>
      <c r="F1245" s="3"/>
      <c r="G1245" s="1"/>
      <c r="H1245" s="1"/>
    </row>
    <row r="1246" spans="5:8" x14ac:dyDescent="0.3">
      <c r="E1246" s="3"/>
      <c r="F1246" s="3"/>
      <c r="G1246" s="1"/>
      <c r="H1246" s="1"/>
    </row>
    <row r="1247" spans="5:8" x14ac:dyDescent="0.3">
      <c r="E1247" s="3"/>
      <c r="F1247" s="3"/>
      <c r="G1247" s="1"/>
      <c r="H1247" s="1"/>
    </row>
    <row r="1248" spans="5:8" x14ac:dyDescent="0.3">
      <c r="E1248" s="3"/>
      <c r="F1248" s="3"/>
      <c r="G1248" s="1"/>
      <c r="H1248" s="1"/>
    </row>
    <row r="1249" spans="5:8" x14ac:dyDescent="0.3">
      <c r="E1249" s="3"/>
      <c r="F1249" s="3"/>
      <c r="G1249" s="1"/>
      <c r="H1249" s="1"/>
    </row>
    <row r="1250" spans="5:8" x14ac:dyDescent="0.3">
      <c r="E1250" s="3"/>
      <c r="F1250" s="3"/>
      <c r="G1250" s="1"/>
      <c r="H1250" s="1"/>
    </row>
    <row r="1251" spans="5:8" x14ac:dyDescent="0.3">
      <c r="E1251" s="3"/>
      <c r="F1251" s="3"/>
      <c r="G1251" s="1"/>
      <c r="H1251" s="1"/>
    </row>
    <row r="1252" spans="5:8" x14ac:dyDescent="0.3">
      <c r="E1252" s="3"/>
      <c r="F1252" s="3"/>
      <c r="G1252" s="1"/>
      <c r="H1252" s="1"/>
    </row>
    <row r="1253" spans="5:8" x14ac:dyDescent="0.3">
      <c r="E1253" s="3"/>
      <c r="F1253" s="3"/>
      <c r="G1253" s="1"/>
      <c r="H1253" s="1"/>
    </row>
    <row r="1254" spans="5:8" x14ac:dyDescent="0.3">
      <c r="E1254" s="3"/>
      <c r="F1254" s="3"/>
      <c r="G1254" s="1"/>
      <c r="H1254" s="1"/>
    </row>
    <row r="1255" spans="5:8" x14ac:dyDescent="0.3">
      <c r="E1255" s="3"/>
      <c r="F1255" s="3"/>
      <c r="G1255" s="1"/>
      <c r="H1255" s="1"/>
    </row>
    <row r="1256" spans="5:8" x14ac:dyDescent="0.3">
      <c r="E1256" s="3"/>
      <c r="F1256" s="3"/>
      <c r="G1256" s="1"/>
      <c r="H1256" s="1"/>
    </row>
    <row r="1257" spans="5:8" x14ac:dyDescent="0.3">
      <c r="E1257" s="3"/>
      <c r="F1257" s="3"/>
      <c r="G1257" s="1"/>
      <c r="H1257" s="1"/>
    </row>
    <row r="1258" spans="5:8" x14ac:dyDescent="0.3">
      <c r="E1258" s="3"/>
      <c r="F1258" s="3"/>
      <c r="G1258" s="1"/>
      <c r="H1258" s="1"/>
    </row>
    <row r="1259" spans="5:8" x14ac:dyDescent="0.3">
      <c r="E1259" s="3"/>
      <c r="F1259" s="3"/>
      <c r="G1259" s="1"/>
      <c r="H1259" s="1"/>
    </row>
    <row r="1260" spans="5:8" x14ac:dyDescent="0.3">
      <c r="E1260" s="3"/>
      <c r="F1260" s="3"/>
      <c r="G1260" s="1"/>
      <c r="H1260" s="1"/>
    </row>
    <row r="1261" spans="5:8" x14ac:dyDescent="0.3">
      <c r="E1261" s="3"/>
      <c r="F1261" s="3"/>
      <c r="G1261" s="1"/>
      <c r="H1261" s="1"/>
    </row>
    <row r="1262" spans="5:8" x14ac:dyDescent="0.3">
      <c r="E1262" s="3"/>
      <c r="F1262" s="3"/>
      <c r="G1262" s="1"/>
      <c r="H1262" s="1"/>
    </row>
    <row r="1263" spans="5:8" x14ac:dyDescent="0.3">
      <c r="E1263" s="3"/>
      <c r="F1263" s="3"/>
      <c r="G1263" s="1"/>
      <c r="H1263" s="1"/>
    </row>
    <row r="1264" spans="5:8" x14ac:dyDescent="0.3">
      <c r="E1264" s="3"/>
      <c r="F1264" s="3"/>
      <c r="G1264" s="1"/>
      <c r="H1264" s="1"/>
    </row>
    <row r="1265" spans="5:8" x14ac:dyDescent="0.3">
      <c r="E1265" s="3"/>
      <c r="F1265" s="3"/>
      <c r="G1265" s="1"/>
      <c r="H1265" s="1"/>
    </row>
    <row r="1266" spans="5:8" x14ac:dyDescent="0.3">
      <c r="E1266" s="3"/>
      <c r="F1266" s="3"/>
      <c r="G1266" s="1"/>
      <c r="H1266" s="1"/>
    </row>
    <row r="1267" spans="5:8" x14ac:dyDescent="0.3">
      <c r="E1267" s="3"/>
      <c r="F1267" s="3"/>
      <c r="G1267" s="1"/>
      <c r="H1267" s="1"/>
    </row>
    <row r="1268" spans="5:8" x14ac:dyDescent="0.3">
      <c r="E1268" s="3"/>
      <c r="F1268" s="3"/>
      <c r="G1268" s="1"/>
      <c r="H1268" s="1"/>
    </row>
    <row r="1269" spans="5:8" x14ac:dyDescent="0.3">
      <c r="E1269" s="3"/>
      <c r="F1269" s="3"/>
      <c r="G1269" s="1"/>
      <c r="H1269" s="1"/>
    </row>
    <row r="1270" spans="5:8" x14ac:dyDescent="0.3">
      <c r="E1270" s="3"/>
      <c r="F1270" s="3"/>
      <c r="G1270" s="1"/>
      <c r="H1270" s="1"/>
    </row>
    <row r="1271" spans="5:8" x14ac:dyDescent="0.3">
      <c r="E1271" s="3"/>
      <c r="F1271" s="3"/>
      <c r="G1271" s="1"/>
      <c r="H1271" s="1"/>
    </row>
    <row r="1272" spans="5:8" x14ac:dyDescent="0.3">
      <c r="E1272" s="3"/>
      <c r="F1272" s="3"/>
      <c r="G1272" s="1"/>
      <c r="H1272" s="1"/>
    </row>
    <row r="1273" spans="5:8" x14ac:dyDescent="0.3">
      <c r="E1273" s="3"/>
      <c r="F1273" s="3"/>
      <c r="G1273" s="1"/>
      <c r="H1273" s="1"/>
    </row>
    <row r="1274" spans="5:8" x14ac:dyDescent="0.3">
      <c r="E1274" s="3"/>
      <c r="F1274" s="3"/>
      <c r="G1274" s="1"/>
      <c r="H1274" s="1"/>
    </row>
    <row r="1275" spans="5:8" x14ac:dyDescent="0.3">
      <c r="E1275" s="3"/>
      <c r="F1275" s="3"/>
      <c r="G1275" s="1"/>
      <c r="H1275" s="1"/>
    </row>
    <row r="1276" spans="5:8" x14ac:dyDescent="0.3">
      <c r="E1276" s="3"/>
      <c r="F1276" s="3"/>
      <c r="G1276" s="1"/>
      <c r="H1276" s="1"/>
    </row>
    <row r="1277" spans="5:8" x14ac:dyDescent="0.3">
      <c r="E1277" s="3"/>
      <c r="F1277" s="3"/>
      <c r="G1277" s="1"/>
      <c r="H1277" s="1"/>
    </row>
    <row r="1278" spans="5:8" x14ac:dyDescent="0.3">
      <c r="E1278" s="3"/>
      <c r="F1278" s="3"/>
      <c r="G1278" s="1"/>
      <c r="H1278" s="1"/>
    </row>
    <row r="1279" spans="5:8" x14ac:dyDescent="0.3">
      <c r="E1279" s="3"/>
      <c r="F1279" s="3"/>
      <c r="G1279" s="1"/>
      <c r="H1279" s="1"/>
    </row>
    <row r="1280" spans="5:8" x14ac:dyDescent="0.3">
      <c r="E1280" s="3"/>
      <c r="F1280" s="3"/>
      <c r="G1280" s="1"/>
      <c r="H1280" s="1"/>
    </row>
    <row r="1281" spans="5:8" x14ac:dyDescent="0.3">
      <c r="E1281" s="3"/>
      <c r="F1281" s="3"/>
      <c r="G1281" s="1"/>
      <c r="H1281" s="1"/>
    </row>
    <row r="1282" spans="5:8" x14ac:dyDescent="0.3">
      <c r="E1282" s="3"/>
      <c r="F1282" s="3"/>
      <c r="G1282" s="1"/>
      <c r="H1282" s="1"/>
    </row>
    <row r="1283" spans="5:8" x14ac:dyDescent="0.3">
      <c r="E1283" s="3"/>
      <c r="F1283" s="3"/>
      <c r="G1283" s="1"/>
      <c r="H1283" s="1"/>
    </row>
    <row r="1284" spans="5:8" x14ac:dyDescent="0.3">
      <c r="E1284" s="3"/>
      <c r="F1284" s="3"/>
      <c r="G1284" s="1"/>
      <c r="H1284" s="1"/>
    </row>
    <row r="1285" spans="5:8" x14ac:dyDescent="0.3">
      <c r="E1285" s="3"/>
      <c r="F1285" s="3"/>
      <c r="G1285" s="1"/>
      <c r="H1285" s="1"/>
    </row>
    <row r="1286" spans="5:8" x14ac:dyDescent="0.3">
      <c r="E1286" s="3"/>
      <c r="F1286" s="3"/>
      <c r="G1286" s="1"/>
      <c r="H1286" s="1"/>
    </row>
    <row r="1287" spans="5:8" x14ac:dyDescent="0.3">
      <c r="E1287" s="3"/>
      <c r="F1287" s="3"/>
      <c r="G1287" s="1"/>
      <c r="H1287" s="1"/>
    </row>
    <row r="1288" spans="5:8" x14ac:dyDescent="0.3">
      <c r="E1288" s="3"/>
      <c r="F1288" s="3"/>
      <c r="G1288" s="1"/>
      <c r="H1288" s="1"/>
    </row>
    <row r="1289" spans="5:8" x14ac:dyDescent="0.3">
      <c r="E1289" s="3"/>
      <c r="F1289" s="3"/>
      <c r="G1289" s="1"/>
      <c r="H1289" s="1"/>
    </row>
    <row r="1290" spans="5:8" x14ac:dyDescent="0.3">
      <c r="E1290" s="3"/>
      <c r="F1290" s="3"/>
      <c r="G1290" s="1"/>
      <c r="H1290" s="1"/>
    </row>
    <row r="1291" spans="5:8" x14ac:dyDescent="0.3">
      <c r="E1291" s="3"/>
      <c r="F1291" s="3"/>
      <c r="G1291" s="1"/>
      <c r="H1291" s="1"/>
    </row>
    <row r="1292" spans="5:8" x14ac:dyDescent="0.3">
      <c r="E1292" s="3"/>
      <c r="F1292" s="3"/>
      <c r="G1292" s="1"/>
      <c r="H1292" s="1"/>
    </row>
    <row r="1293" spans="5:8" x14ac:dyDescent="0.3">
      <c r="E1293" s="2"/>
      <c r="F1293" s="2"/>
      <c r="G1293" s="1"/>
      <c r="H129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IMPORTAR_DATA_DIARIA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Gonzalez</dc:creator>
  <cp:lastModifiedBy>Ramses Gonzalez</cp:lastModifiedBy>
  <dcterms:created xsi:type="dcterms:W3CDTF">2026-05-03T03:45:37Z</dcterms:created>
  <dcterms:modified xsi:type="dcterms:W3CDTF">2026-05-12T16:20:54Z</dcterms:modified>
</cp:coreProperties>
</file>